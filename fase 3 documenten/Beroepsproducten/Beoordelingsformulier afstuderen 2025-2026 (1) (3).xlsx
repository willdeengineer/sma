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autoCompressPictures="0"/>
  <mc:AlternateContent xmlns:mc="http://schemas.openxmlformats.org/markup-compatibility/2006">
    <mc:Choice Requires="x15">
      <x15ac:absPath xmlns:x15ac="http://schemas.microsoft.com/office/spreadsheetml/2010/11/ac" url="/Users/kjmollema/Documents/02 werk/HHS 2/10 HBO-ICT/01 onderwijs/afstuderen : stage/2025-2026/2,3 afst william van der meijden/"/>
    </mc:Choice>
  </mc:AlternateContent>
  <xr:revisionPtr revIDLastSave="0" documentId="13_ncr:1_{B995258B-DFA8-434C-AAFE-B2D875AE1723}" xr6:coauthVersionLast="47" xr6:coauthVersionMax="47" xr10:uidLastSave="{00000000-0000-0000-0000-000000000000}"/>
  <bookViews>
    <workbookView xWindow="0" yWindow="800" windowWidth="41120" windowHeight="25060" tabRatio="578" xr2:uid="{00000000-000D-0000-FFFF-FFFF00000000}"/>
  </bookViews>
  <sheets>
    <sheet name="Fase 1-3" sheetId="9" r:id="rId1"/>
    <sheet name="Herkansing" sheetId="11" r:id="rId2"/>
    <sheet name="Docentvragen per fase" sheetId="13" r:id="rId3"/>
    <sheet name="Beroepstaken" sheetId="5" r:id="rId4"/>
    <sheet name="Docentvragen per BT" sheetId="17" r:id="rId5"/>
    <sheet name="Niveaubepaling" sheetId="16" r:id="rId6"/>
    <sheet name="Beroepstaken per AP" sheetId="12" r:id="rId7"/>
    <sheet name="Admin" sheetId="8" state="hidden" r:id="rId8"/>
    <sheet name="Resultaat" sheetId="14" state="hidden" r:id="rId9"/>
    <sheet name="her" sheetId="15" state="hidden" r:id="rId10"/>
  </sheets>
  <definedNames>
    <definedName name="_xlnm.Print_Area" localSheetId="3">Beroepstaken!$A$1:$E$162</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3" i="11" l="1"/>
  <c r="F2" i="11"/>
  <c r="D5" i="11"/>
  <c r="D4" i="11"/>
  <c r="D3" i="11"/>
  <c r="D2" i="11"/>
  <c r="F4" i="11"/>
  <c r="E8" i="15"/>
  <c r="E7" i="15"/>
  <c r="E6" i="15"/>
  <c r="E5" i="15"/>
  <c r="E4" i="15"/>
  <c r="E3" i="15"/>
  <c r="E2" i="15"/>
  <c r="E1" i="15"/>
  <c r="H2" i="15"/>
  <c r="H1" i="15"/>
  <c r="H4" i="15" s="1"/>
  <c r="B16" i="15" s="1" a="1"/>
  <c r="B16" i="15" s="1"/>
  <c r="F27" i="11" s="1"/>
  <c r="H3" i="15"/>
  <c r="I1" i="15"/>
  <c r="I2" i="15"/>
  <c r="E9" i="15"/>
  <c r="E8" i="14"/>
  <c r="E7" i="14"/>
  <c r="E6" i="14"/>
  <c r="E5" i="14"/>
  <c r="H2" i="14" s="1"/>
  <c r="E4" i="14"/>
  <c r="E2" i="14"/>
  <c r="E1" i="14"/>
  <c r="H1" i="14" s="1"/>
  <c r="H4" i="14" s="1"/>
  <c r="B16" i="14" s="1" a="1"/>
  <c r="B16" i="14" s="1"/>
  <c r="I27" i="9" s="1"/>
  <c r="E3" i="14"/>
  <c r="I1" i="14" s="1"/>
  <c r="H3" i="14"/>
  <c r="E9" i="14"/>
  <c r="I2" i="14"/>
  <c r="F5" i="11"/>
  <c r="C1" i="11"/>
  <c r="D16" i="9"/>
  <c r="M8" i="11"/>
  <c r="M7" i="11"/>
  <c r="M6" i="11"/>
  <c r="M5" i="11"/>
  <c r="M4" i="11"/>
  <c r="M3" i="11"/>
  <c r="M2" i="11"/>
  <c r="M1" i="11"/>
  <c r="M9" i="11" s="1"/>
  <c r="M10" i="11" s="1"/>
  <c r="D23" i="11"/>
  <c r="D21" i="11"/>
  <c r="D19" i="11"/>
  <c r="D17" i="11"/>
  <c r="D15" i="11"/>
  <c r="D13" i="11"/>
  <c r="D11" i="11"/>
  <c r="D9" i="11"/>
  <c r="D10" i="9"/>
  <c r="D22" i="9"/>
  <c r="D24" i="9"/>
  <c r="D20" i="9"/>
  <c r="D18" i="9"/>
  <c r="D14" i="9"/>
  <c r="D12" i="9"/>
  <c r="G167" i="5"/>
  <c r="B167" i="5"/>
  <c r="G162" i="5"/>
  <c r="B162" i="5"/>
  <c r="G157" i="5"/>
  <c r="B157" i="5"/>
  <c r="G152" i="5"/>
  <c r="B152" i="5"/>
  <c r="G147" i="5"/>
  <c r="B147" i="5"/>
  <c r="G142" i="5"/>
  <c r="B142" i="5"/>
  <c r="G137" i="5"/>
  <c r="B137" i="5"/>
  <c r="G132" i="5"/>
  <c r="B132" i="5"/>
  <c r="G127" i="5"/>
  <c r="B127" i="5"/>
  <c r="G122" i="5"/>
  <c r="B122" i="5"/>
  <c r="G117" i="5"/>
  <c r="B117" i="5"/>
  <c r="G112" i="5"/>
  <c r="B112" i="5"/>
  <c r="G107" i="5"/>
  <c r="B107" i="5"/>
  <c r="G102" i="5"/>
  <c r="B102" i="5"/>
  <c r="G97" i="5"/>
  <c r="B97" i="5"/>
  <c r="G92" i="5"/>
  <c r="B92" i="5"/>
  <c r="G87" i="5"/>
  <c r="B87" i="5"/>
  <c r="G82" i="5"/>
  <c r="B82" i="5"/>
  <c r="G77" i="5"/>
  <c r="B77" i="5"/>
  <c r="G72" i="5"/>
  <c r="B72" i="5"/>
  <c r="G67" i="5"/>
  <c r="B67" i="5"/>
  <c r="G62" i="5"/>
  <c r="B62" i="5"/>
  <c r="G57" i="5"/>
  <c r="B57" i="5"/>
  <c r="G52" i="5"/>
  <c r="B52" i="5"/>
  <c r="G47" i="5"/>
  <c r="B47" i="5"/>
  <c r="G42" i="5"/>
  <c r="B42" i="5"/>
  <c r="G37" i="5"/>
  <c r="B37" i="5"/>
  <c r="G32" i="5"/>
  <c r="B32" i="5"/>
  <c r="G27" i="5"/>
  <c r="B27" i="5"/>
  <c r="G22" i="5"/>
  <c r="B22" i="5"/>
  <c r="G17" i="5"/>
  <c r="B17" i="5"/>
  <c r="G12" i="5"/>
  <c r="B12" i="5"/>
  <c r="G7" i="5"/>
  <c r="B7" i="5"/>
  <c r="G2" i="5"/>
  <c r="B2" i="5"/>
</calcChain>
</file>

<file path=xl/sharedStrings.xml><?xml version="1.0" encoding="utf-8"?>
<sst xmlns="http://schemas.openxmlformats.org/spreadsheetml/2006/main" count="1065" uniqueCount="598">
  <si>
    <t>Eindkwalificatie</t>
  </si>
  <si>
    <t>Beroepstaken</t>
  </si>
  <si>
    <t>Algemene omschrijving</t>
  </si>
  <si>
    <t>Voorbeeldskills</t>
  </si>
  <si>
    <t>Code</t>
  </si>
  <si>
    <t>A</t>
  </si>
  <si>
    <t>Analyseren probleemdomein &amp; opstellen probleemstelling</t>
  </si>
  <si>
    <t>Het uitvoeren van een bedrijfs- of procesanalyse</t>
  </si>
  <si>
    <t>Analyseren</t>
  </si>
  <si>
    <t>Het uitvoeren van een intake bij een opdrachtgever</t>
  </si>
  <si>
    <t>Het analyseren van problemen, processen, producten en informatiestromen in onderlinge samenhang en context</t>
  </si>
  <si>
    <t>Informatie vergaren, analyseren &amp; verwerken</t>
  </si>
  <si>
    <t>Het uitvoeren van brononderzoek</t>
  </si>
  <si>
    <t>Het voorbereiden en uitvoeren van observaties</t>
  </si>
  <si>
    <t>Informatie beoordelen, waarderen &amp; prioriteren</t>
  </si>
  <si>
    <t>Uitvoeren van een onderzoek</t>
  </si>
  <si>
    <t>B</t>
  </si>
  <si>
    <t>Gemotiveerd selecteren van ICT gerelateerde oplossingen</t>
  </si>
  <si>
    <t>Het opstellen van criteria voor pakketselectie</t>
  </si>
  <si>
    <t>Adviseren</t>
  </si>
  <si>
    <t>Het opstellen van criteria voor componentselectie</t>
  </si>
  <si>
    <t>Het bepalen van vervolgstappen</t>
  </si>
  <si>
    <t>Het verantwoord vaststellen van en adviseren over ICT oplossingen en de consequenties voor gebruikers en hun omgeving</t>
  </si>
  <si>
    <t>Adviseren over inrichting van ICT gerelateerde oplossingen &amp; processen</t>
  </si>
  <si>
    <t>Het opstellen van een adviesrapport</t>
  </si>
  <si>
    <t>Het geven van een presentatie aan het management</t>
  </si>
  <si>
    <t>Het hebben van inzicht in adviesrollen en fasen van een adviesproces</t>
  </si>
  <si>
    <t>C</t>
  </si>
  <si>
    <t>Ontwerpen software</t>
  </si>
  <si>
    <t>De student maakt op basis van de analyses en best practices gemotiveerde keuzes voor de opbouw van een software project. Zowel op micro (binnen modules), meso (tussen modules) als macro (module selectie) niveau.</t>
  </si>
  <si>
    <t>Het ontwerpen van een software architectuur</t>
  </si>
  <si>
    <t>Het ontwerpen van een Object Oriented programmeermodel</t>
  </si>
  <si>
    <t>Ontwerpen</t>
  </si>
  <si>
    <t>Het hanteren van Design Patterns</t>
  </si>
  <si>
    <t>Het kiezen tussen verschillende programmeerparadigma's</t>
  </si>
  <si>
    <t>Het ontwerpen van een ICT gerelateerde oplossing</t>
  </si>
  <si>
    <t>Het uitwerken van een klassendiagram</t>
  </si>
  <si>
    <t>Ontwerpen datamodel &amp; database</t>
  </si>
  <si>
    <t>Het opstellen van een gegevensmodel voor een database</t>
  </si>
  <si>
    <t>Het selecteren van een database paradigma</t>
  </si>
  <si>
    <t>Het normaliseren van een gegevensmodel</t>
  </si>
  <si>
    <t>Ontwerpen informatiestructuur</t>
  </si>
  <si>
    <t>De student ontwerpt een structuur op basis waarvan informatie kan worden georganiseerd, gestructureerd en ontsloten, met name op inhoudelijke aspecten. Deze structuur kan de vorm hebben van een informatietaal of een voorstel voor andere vormen van inhoudelijke toegankelijkheid.</t>
  </si>
  <si>
    <t>Het ontwerpen van een taxonomie</t>
  </si>
  <si>
    <t>Het classificeren van gegevens</t>
  </si>
  <si>
    <t>Ontwerpen Technische Infrastructuur</t>
  </si>
  <si>
    <t>De student ontwerpt een computernetwerk, dat voldoet aan vooraf gegeven specificaties. Ontwerpkeuzes worden gemotiveerd. Voordat het ontwerp op details wordt uitgewerkt wordt een keuze gemaakt voor een passende netwerk/computing-architectuur.</t>
  </si>
  <si>
    <t>Het ontwerpen van een netwerktopologie</t>
  </si>
  <si>
    <t>Het bepalen van een passende netwerkarchitectuur</t>
  </si>
  <si>
    <t>Ontwerpen Embedded &amp; Realtime systemen</t>
  </si>
  <si>
    <t>Selecteren hardware (platform)</t>
  </si>
  <si>
    <t>Het modelleren van de software van een embedded systeem</t>
  </si>
  <si>
    <t>Ontwerpen van Human Computer Interaction</t>
  </si>
  <si>
    <t>Ontwerpen beleid, bedrijfsprocessen &amp; procedures</t>
  </si>
  <si>
    <t>Het formuleren van (bedrijfs)doelstellingen</t>
  </si>
  <si>
    <t>Het ontwerpen van een strategisch businessmodel</t>
  </si>
  <si>
    <t>Het relateren van processen aan doelen</t>
  </si>
  <si>
    <t>Het hanteren van kritieke succesfactoren</t>
  </si>
  <si>
    <t>Ontwerpen stelsel van securitymaatregelen</t>
  </si>
  <si>
    <t>Het opstellen van een ethische code</t>
  </si>
  <si>
    <t>Het hardenen van IT systemen</t>
  </si>
  <si>
    <t>Het plannen van crisismanagement</t>
  </si>
  <si>
    <t>Het inventariseren van medewerkersawareness</t>
  </si>
  <si>
    <t>D</t>
  </si>
  <si>
    <t>Realiseren van software</t>
  </si>
  <si>
    <t>De student ontwikkelt een onderbouwd softwareproduct op basis van een ontwerp. Hierbij wordt gebruik gemaakt van programmeer-, opmaak- en scripttalen. Er kan gebruik gemaakt worden van bestaande libraries en frameworks of begonnen worden 'from scratch'.</t>
  </si>
  <si>
    <t>Het programmeren van een for-loop</t>
  </si>
  <si>
    <t>Realiseren</t>
  </si>
  <si>
    <t>Het gebruiken van een framework</t>
  </si>
  <si>
    <t>Het optimaliseren van een algoritme</t>
  </si>
  <si>
    <t>Het bouwen en/of implementeren van een ICT gerelateerd ontwerp</t>
  </si>
  <si>
    <t>Het ontwikkelen van een dynamische website</t>
  </si>
  <si>
    <t>Testen &amp; Evalueren</t>
  </si>
  <si>
    <t>Het programmeren van een unit-test</t>
  </si>
  <si>
    <t>Het uitvoeren van een pentest</t>
  </si>
  <si>
    <t>Realiseren &amp; gebruiken database</t>
  </si>
  <si>
    <t>Het programmeren van stored procedures, triggers en functies</t>
  </si>
  <si>
    <t>Het aanpassen van opslagstructuren en indexen op grond van een querieanalyse</t>
  </si>
  <si>
    <t>Het aanmaken van rollen en rechten van gebruikers(groepen)</t>
  </si>
  <si>
    <t>Configureren</t>
  </si>
  <si>
    <t>De student stelt op basis van een gegeven ontwerp hardware en softwarecomponenten in om een beoogd IT-systeem te realiseren of optimaliseren. </t>
  </si>
  <si>
    <t>Het instellen van een besturingssysteem</t>
  </si>
  <si>
    <t>Het maken en toepassen van scripts om instellingen configuraties automatisch te realiseren</t>
  </si>
  <si>
    <t>Het hardenen van IT systemen d.m.v. de juiste instellingen.</t>
  </si>
  <si>
    <t>Implementeren van beleid &amp; advies</t>
  </si>
  <si>
    <t>E</t>
  </si>
  <si>
    <t>Beheren van applicaties &amp; technische infrastructuur</t>
  </si>
  <si>
    <t>Het overzicht houden op applicatieversies</t>
  </si>
  <si>
    <t>Het managen van een IT systeem op basis van FCAPS</t>
  </si>
  <si>
    <t>Beheren</t>
  </si>
  <si>
    <t>Het monitoren van wijzigingen in de requirements</t>
  </si>
  <si>
    <t>Het beheren van incidenten</t>
  </si>
  <si>
    <t>Het zorgdragen voor een proces van ontwikkeling en duurzaam gebruik van een ICT gerelateerd systeem</t>
  </si>
  <si>
    <t>Het bijhouden van configuratiewijzigingen</t>
  </si>
  <si>
    <t>Beheren van data</t>
  </si>
  <si>
    <t>Beheren van risico's</t>
  </si>
  <si>
    <t>F</t>
  </si>
  <si>
    <t>Beheersbaar laten verlopen van ontwikkelprocessen</t>
  </si>
  <si>
    <t>Het houden van een sprintreview</t>
  </si>
  <si>
    <t>Het bijwerken van een scrumbord</t>
  </si>
  <si>
    <t>Managen</t>
  </si>
  <si>
    <t>Het spelen van planningspoker</t>
  </si>
  <si>
    <t>Het opstellen en bijhouden van productdocumentatie</t>
  </si>
  <si>
    <t>Het aan informatievoorziening gerelateerd managen van processen en personen</t>
  </si>
  <si>
    <t>Het selecteren en volgen van een sourcingmodel</t>
  </si>
  <si>
    <t>Managen van kennis(processen)</t>
  </si>
  <si>
    <t>Het zorgvuldig beheren en onderhouden van kennis- en informatiebronnen</t>
  </si>
  <si>
    <t>Projecten managen</t>
  </si>
  <si>
    <t>Het managen van stakeholders</t>
  </si>
  <si>
    <t>Het escaleren van problemen</t>
  </si>
  <si>
    <t>Het opstellen van een fasering</t>
  </si>
  <si>
    <t>Leiding geven aan een projectteam</t>
  </si>
  <si>
    <t>Het meervoudig diagnosticeren en bepalen van een veranderstrategie</t>
  </si>
  <si>
    <t>Het opstellen van een interventieplan</t>
  </si>
  <si>
    <t>G</t>
  </si>
  <si>
    <t>a</t>
  </si>
  <si>
    <t>Effectief (Internationaal)Communiceren</t>
  </si>
  <si>
    <t>Professional skills &amp; attitude</t>
  </si>
  <si>
    <t>Het identificeren en hanteren van een breed repertoire interactiestijlen</t>
  </si>
  <si>
    <t>Het zich relateren aan een doelgroep</t>
  </si>
  <si>
    <t>b</t>
  </si>
  <si>
    <t>(Internationaal) Samenwerken</t>
  </si>
  <si>
    <t>Het maken van en houden aan afspraken</t>
  </si>
  <si>
    <t>c</t>
  </si>
  <si>
    <t>Kritisch, onderzoekend &amp; methodisch werken</t>
  </si>
  <si>
    <t>De student hanteert hoge kwaliteitsnormen voor anderen en zichzelf en stelt zichzelf vragen. Op zoek naar antwoorden hanteert de student gestandaardiseerde methoden/technieken/processen, en relevante en adequate argumentatie.</t>
  </si>
  <si>
    <t>Het vragen, geven en beoordelen van feedback</t>
  </si>
  <si>
    <t>Het werken volgens een (gevalideerd) proces</t>
  </si>
  <si>
    <t>Het onderscheiden van feiten en meningen</t>
  </si>
  <si>
    <t>Overtuigen en overtuigd worden op basis van argumenten</t>
  </si>
  <si>
    <t>d</t>
  </si>
  <si>
    <t>Integer Handelen</t>
  </si>
  <si>
    <t xml:space="preserve">De student heeft besef van waarden en normen (wetten, regelgeving, voorschriften) en handelt daarnaar. Taken worden adequaat en zorgvuldig uitgevoerd met inachtneming van eigen verantwoordelijkheden. </t>
  </si>
  <si>
    <t>Het streven naar transparantie en betrouwbaarheid</t>
  </si>
  <si>
    <t>Het nemen van verantwoordelijkheid (voor eigen handelen)</t>
  </si>
  <si>
    <t>Het dienstbaar, onafhankelijk en zorgvuldig opstellen</t>
  </si>
  <si>
    <t>Het vertrouwelijk omgaan met bedrijfs- en persoonsgegevens</t>
  </si>
  <si>
    <t>Het respecteren van auteursrecht</t>
  </si>
  <si>
    <t>e</t>
  </si>
  <si>
    <t>Innovatief &amp; creatief werken</t>
  </si>
  <si>
    <t>Het inschatten van potentiele maatschappelijke en persoonlijke wensen</t>
  </si>
  <si>
    <t>f</t>
  </si>
  <si>
    <t>Leren leren: voorbereiden op volgende studiefase &amp; beroep</t>
  </si>
  <si>
    <t>De student is in staat het eigen leerproces vorm te geven waarbij voorbereid wordt op life-long-learning.</t>
  </si>
  <si>
    <t>Het stellen van leerdoelen</t>
  </si>
  <si>
    <t>Het plannen van het leerproces</t>
  </si>
  <si>
    <t>Het bijblijven in het vakgebied</t>
  </si>
  <si>
    <t>Het zoeken en beoordelen van relevant studiemateriaal</t>
  </si>
  <si>
    <t>g</t>
  </si>
  <si>
    <t>Ondernemend handelen</t>
  </si>
  <si>
    <t>De student brengt helder in kaart waar, wanneer, voor wie en waarom welke problemen zich voordoen, wat de uitgangssituatie is, welke risico's er mogelijk zijn en welke (f)actoren daarbij een rol spelen. </t>
  </si>
  <si>
    <t>Het opstellen van een aanleiding, vraagstelling en doelstelling bij een onderzoek</t>
  </si>
  <si>
    <t>Het in kaart brengen van de huidige software architectuur</t>
  </si>
  <si>
    <t>De student kan methodisch informatie en/of data verzamelen waarbij gemotiveerde keuzes worden gemaakt op basis van relevantie en betrouwbaarheid. De informatie wordt vervolgens geanalyseerd en verwerkt tot (onderdeel van) een eindproduct in de vorm van een literatuurreview, requirementsoverzicht of data-analyse.</t>
  </si>
  <si>
    <t>De student kan de uitkomsten van een informatie analyse beoordelen in het kader van een probleemstelling. Hierbij wordt de betekenis van deze uitkomsten voor een organisatie of stakeholders in kaart gebracht en worden beslissingen genomen ten aanzien van de noodzaak en prioritering</t>
  </si>
  <si>
    <t>Het prioriteren van requirements</t>
  </si>
  <si>
    <t>Het selecteren van te mitigeren risico's</t>
  </si>
  <si>
    <t>Het trekken van conclusies op basis van onderzoeksuitkomsten</t>
  </si>
  <si>
    <t>het bediscussiëren van onderzoeksuitkomsten</t>
  </si>
  <si>
    <t>Het interpreteren van statistieken</t>
  </si>
  <si>
    <t>De student geeft vorm aan een compleet onderzoekstraject om een informatievraagstuk te beantwoorden. Hierbij worden valide keuzes gemaakt in vraagstelling, onderzoeksmethodiek, participanten en analyse en wordt een onderzoeksverslag, paper of artikel opgesteld.</t>
  </si>
  <si>
    <t>Het schrijven van een wetenschappelijk artikel</t>
  </si>
  <si>
    <t>Het selecteren van een onderzoeksmethodiek</t>
  </si>
  <si>
    <t>Het definiëren van onderzoeksbegrippen</t>
  </si>
  <si>
    <t>Het ontwerpen van een experiment</t>
  </si>
  <si>
    <t>Het ontwikkelen van een meetinstrument</t>
  </si>
  <si>
    <t>De student kan op methodische wijze komen tot een overzicht van mogelijke oplossingen voor een ICT gerelateerd vraagstuk, en op basis van (een bestaande domein-)analyse komen tot een gemotiveerde selectie van oplossing(en) die de voorkeur genieten.</t>
  </si>
  <si>
    <t>Het verkennen van nieuwe technologieën en trends</t>
  </si>
  <si>
    <t>Het motiveren van geselecteerde oplossingen</t>
  </si>
  <si>
    <t>De student geeft vorm aan een adviestraject waarin belanghebbenden goed worden betrokken, met als resultaat een passend advies dat op overtuigende wijze is uitgewerkt, goed wordt onderbouwd en op een heldere en aantrekkelijke manier wordt gepresenteerd.</t>
  </si>
  <si>
    <t>De student maakt op basis van de analyses en best practices gemotiveerde keuzes voor de opbouw van een datamodel of database. Hierbij wordt aandacht besteed aan de structurering van gegevens, normalisering, performance en concurrency.</t>
  </si>
  <si>
    <t xml:space="preserve">De student maakt op basis van analyses en best practices gemotiveerde keuzes voor een systeem dat bestaat uit dedicated software die directe interactie heeft met hardware. De uitkomst is een model van de structuur, de functie en het dynamisch gedrag van het systeem. De keuze van hardwarecomponenten en het realiseren van tijdgaranties zijn vaak onderdeel van het ontwerpproces  </t>
  </si>
  <si>
    <t>De student ontwerpt prototypes en interfaces om de interactie tussen een interactief computer- of informatiesysteem en gebruikers vorm te geven. Hierbij worden gebruikersgeoriënteerde methodieken ingezet.</t>
  </si>
  <si>
    <t>Het onderscheiden van persona's</t>
  </si>
  <si>
    <t>Het ontwerpen van gebruiksscenario's</t>
  </si>
  <si>
    <t>Het maken van een (paper) prototype</t>
  </si>
  <si>
    <t>Het evalueren van een prototype</t>
  </si>
  <si>
    <t>Het met gebruikers co-creëren van een interactieontwerp</t>
  </si>
  <si>
    <t>De student ontwerpt en formuleert, op basis van een analyse, beleid en procedures ten behoeve van efficiëntie- en effectiviteitsverbetering, waarbij het gebruik van ICT centraal staat en waarbij rekening gehouden wordt met werkbare en haalbare beleidsinstrumenten.</t>
  </si>
  <si>
    <t>Het verbeteren van processen met behulp van ICT oplossingen</t>
  </si>
  <si>
    <t>De student ontwerpt een stelsel samenhangende maatregelen (preventief, detectief, correctief en / of reactief) op basis van organisatiespecifieke  risico's en een daaraan gekoppelde risicostrategie. Hierbij wordt gefocust op zowel het beleidsmatige, menselijke als technische aspect. </t>
  </si>
  <si>
    <t>Ontwerpen game, computermodel, &amp; simulatie</t>
  </si>
  <si>
    <t>De student ontwerpt een computerrepresentatie van een stuk (fictieve) werkelijkheid met als doel, vermaak, hypothesevorming of prototyping. Hierbij wordt nadrukkelijk aandacht besteed aan de fidelity van weergave, interactie, scenario's en beleving.</t>
  </si>
  <si>
    <t>Het overbrengen van een verhaal aan de hand van een virtuele omgeving</t>
  </si>
  <si>
    <t>Het maken van een aannemelijk model voor kunstmatige intelligentie</t>
  </si>
  <si>
    <t>Het verwerken van inputdevices voor het aansturen van virtuele objecten</t>
  </si>
  <si>
    <t>Het modeleren van een aannemelijk model om te gebruiken in een virtuele wereld</t>
  </si>
  <si>
    <t>Het programmeren van een physics engine</t>
  </si>
  <si>
    <t>De student toetst of een ontwikkeld ICT product of beleid voldoet aan de opgestelde (niet-)functionele requirements. Hierbij wordt planmatig en volgens best practices gewerkt en waar mogelijk wordt het proces geautomatiseerd. Er wordt aandacht besteed aan het formaliseren van testcases en evaluatiecriteria</t>
  </si>
  <si>
    <t>Het opstellen van een usability test</t>
  </si>
  <si>
    <t>De student implementeert op basis van een ontwerp een database inclusief de software om de gewenste constraints te realiseren en kan de database effectief en efficiënt bevragen m.b.v. een vraagtaal. De student kan de gerealiseerde database tunen voor optimaal gebruik.</t>
  </si>
  <si>
    <t>Het opstellen van queries in SQL</t>
  </si>
  <si>
    <t>Het instellen van een enterprise contentmanagement systeem (bijv. Sharepoint)</t>
  </si>
  <si>
    <t>De student draagt er zorg voor dat ontworpen processen, procedures en maatregelen in de organisatie geïmplementeerd worden, ingebed in de bestaande processen en organisatiecultuur. Hierbij gaat de student organisatiesensitief te werk bij het opbouwen van draagvlak</t>
  </si>
  <si>
    <t>De student beheert opgeleverde techniek ten aanzien van veranderende omgevingsfactoren. Dat beheer verloopt volgens een onderbouwd proces dat waar mogelijk gebaseerd is op een standaard of best practice. Het (verloop van het) beheerproces wordt gedocumenteerd. Waar mogelijk speelt toekomstig beheer al een rol tijdens het initiële ontwikkeltraject</t>
  </si>
  <si>
    <t>De student draagt er zorg voor dat de betrouwbaarheid, correctheid, compleetheid en actualiteit van bestaande en nieuwe data geborgd blijft ten aanzien van veranderende omgevingsfactoren</t>
  </si>
  <si>
    <t>Het adequaat reageren op een informatie beveiligingslek</t>
  </si>
  <si>
    <t>Het inrichten van een backup systeem</t>
  </si>
  <si>
    <t>De student draagt er zorg voor dat organisatierisico's ten aanzien van informatiebeveiliging procesmatig worden beheerd ten aanzien van veranderende omgevingsfactoren</t>
  </si>
  <si>
    <t>Het up-to-date houden van mitigatie interventies</t>
  </si>
  <si>
    <t>Het beheren van een bedrijfsspecifieke risicoinventarisatie</t>
  </si>
  <si>
    <t>De student richt een ontwikkelproces dusdanig in dat voldaan wordt aan tijds-, budget-, kwaliteits- en andere constraints. Waar toepasselijk wordt een gestandaardiseerde aanpak gevolgd en wordt het proces volgens geldende normen gedocumenteerd.</t>
  </si>
  <si>
    <t>De student kan kennisgebieden van een organisatie in kaart brengen, becommentariëren en tot stand laten komen door het faciliteren en stimuleren van kennisontwikkeling.</t>
  </si>
  <si>
    <t xml:space="preserve">De student initieert, beheert en sluit projecten binnen een organisatiecontext op basis van projectmanagement methodieken. </t>
  </si>
  <si>
    <t>Het beheersen van de sturingsfactoren op basis van GOTICK</t>
  </si>
  <si>
    <t>Veranderkundig interveniëren</t>
  </si>
  <si>
    <t>De student ontwerpt en voert interventies uit die er op gericht zijn een verandering tot stand te brengen en daarmee de effectiviteit, efficiëntie of kwaliteit van de organisatie te vergroten. </t>
  </si>
  <si>
    <t>Het hanteren van verschillende handelingsprincipes</t>
  </si>
  <si>
    <t>Het actief oplossen van problemen tussen partijen of ten aanzien van een proces</t>
  </si>
  <si>
    <t>Het doen aan verwachtingsmanagement</t>
  </si>
  <si>
    <t>De student communiceert, schriftelijk en mondeling, op zelfbewuste, strategische en adequate wijze aan een doelgroep gerelateerde boodschappen richting individuen en kleine en grote groepen</t>
  </si>
  <si>
    <t>Het strategisch communiceren</t>
  </si>
  <si>
    <t>Het foutloos geschreven en goed gestructureerd opleveren van een rapportage</t>
  </si>
  <si>
    <t>Het inzetten van professionele vaardigheden en het aannemen van een professionele houding binnen een ICT (ontwikkelings)context</t>
  </si>
  <si>
    <t>Het in staat zijn de communicatie ten dienste te stellen van een vruchtbare samenwerking</t>
  </si>
  <si>
    <t>De student werkt succesvol samen met anderen in groepen die eventueel verschillen in disciplinaire samenstelling, grootte en culturele achtergrond</t>
  </si>
  <si>
    <t>Het omgaan met verschillen in persoonlijkheid, culturele achtergrond en capaciteiten</t>
  </si>
  <si>
    <t>Het evalueren en reflecteren op de eigen rol in de samenwerking.</t>
  </si>
  <si>
    <t>Het geven van ruimte aan anderen bij een brainstorm</t>
  </si>
  <si>
    <t>Het kritisch lezen van teksten</t>
  </si>
  <si>
    <t>De student is in staat om buiten het eigen referentiekader toekomstgerichte producten en diensten te bedenken en/of ontwikkelen met oog voor doelgroep en maatschappij en gebruikmakend van nieuwe technologie</t>
  </si>
  <si>
    <t>Het toepassen van bestaande producten in een nieuwe markt of toepassing (transfer)</t>
  </si>
  <si>
    <t>Het incorporeren van verschillende perspectieven</t>
  </si>
  <si>
    <t>Het nieuwsgierig beschouwen van het probleemdomein</t>
  </si>
  <si>
    <t>Het actief exploreren van (out-of-the-box0 mogelijkheden</t>
  </si>
  <si>
    <t>Het bekend zijn met de eigen leerstijl en -wensen</t>
  </si>
  <si>
    <t>De student is proactief in het valoriseren van ontwikkelde ICT producten met oog voor de meerwaarde die deze producten hebben voor toekomstige klanten en / of gebruikers en de ontwikkelings- en beheerskosten voor een producent</t>
  </si>
  <si>
    <t>Het rekening houden met kosten van een productieproces of -project</t>
  </si>
  <si>
    <t>Het zien van kansen en omgaan met bedreigingen</t>
  </si>
  <si>
    <t>Het durven aangaan van risico's</t>
  </si>
  <si>
    <t>Het onderhouden van een netwerk</t>
  </si>
  <si>
    <t xml:space="preserve">Student: </t>
  </si>
  <si>
    <t>Differentiatie:</t>
  </si>
  <si>
    <t>Aanpak</t>
  </si>
  <si>
    <t>A-1 Analyseren probleemdomein &amp; opstellen probleemstelling</t>
  </si>
  <si>
    <t>A-2 Informatie vergaren, analyseren &amp; verwerken</t>
  </si>
  <si>
    <t>A-3 Informatie beoordelen, waarderen &amp; prioriteren</t>
  </si>
  <si>
    <t>A-4 Uitvoeren van een onderzoek</t>
  </si>
  <si>
    <t>B-1 Gemotiveerd selecteren van ICT gerelateerde oplossingen</t>
  </si>
  <si>
    <t>B-2 Adviseren over inrichting van ICT gerelateerde oplossingen &amp; processen</t>
  </si>
  <si>
    <t>C-1 Ontwerpen software</t>
  </si>
  <si>
    <t>C-2 Ontwerpen datamodel &amp; database</t>
  </si>
  <si>
    <t>C-3 Ontwerpen informatiestructuur</t>
  </si>
  <si>
    <t>C-4 Ontwerpen Technische Infrastructuur</t>
  </si>
  <si>
    <t>C-5 Ontwerpen Embedded &amp; Realtime systemen</t>
  </si>
  <si>
    <t>C-6 Ontwerpen van Human Computer Interaction</t>
  </si>
  <si>
    <t>C-7 Ontwerpen beleid, bedrijfsprocessen &amp; procedures</t>
  </si>
  <si>
    <t>C-8 Ontwerpen stelsel van securitymaatregelen</t>
  </si>
  <si>
    <t>C-9 Ontwerpen game, computermodel, &amp; simulatie</t>
  </si>
  <si>
    <t>D-1 Realiseren van software</t>
  </si>
  <si>
    <t>D-2 Testen &amp; Evalueren</t>
  </si>
  <si>
    <t>D-3 Realiseren &amp; gebruiken database</t>
  </si>
  <si>
    <t>D-4 Configureren</t>
  </si>
  <si>
    <t>D-5 Implementeren van beleid &amp; advies</t>
  </si>
  <si>
    <t>E-1 Beheren van applicaties &amp; technische infrastructuur</t>
  </si>
  <si>
    <t>E-2 Beheren van data</t>
  </si>
  <si>
    <t>E-3 Beheren van risico's</t>
  </si>
  <si>
    <t>F-1 Beheersbaar laten verlopen van ontwikkelprocessen</t>
  </si>
  <si>
    <t>F-2 Managen van kennis(processen)</t>
  </si>
  <si>
    <t>F-3 Projecten managen</t>
  </si>
  <si>
    <t>F-4 Veranderkundig interveniëren</t>
  </si>
  <si>
    <t>G-b (Internationaal) Samenwerken</t>
  </si>
  <si>
    <t>G-c Kritisch, onderzoekend &amp; methodisch werken</t>
  </si>
  <si>
    <t>G-d Integer Handelen</t>
  </si>
  <si>
    <t>G-e Innovatief &amp; creatief werken</t>
  </si>
  <si>
    <t>G-f Leren leren: voorbereiden op volgende studiefase &amp; beroep</t>
  </si>
  <si>
    <t>G-g Ondernemend handelen</t>
  </si>
  <si>
    <t xml:space="preserve"> -- Keuze --</t>
  </si>
  <si>
    <t>Ben je in staat de beroepstaken te demonstreren met het uitvoeren van de opdracht?</t>
  </si>
  <si>
    <t>x</t>
  </si>
  <si>
    <t>Algemeen</t>
  </si>
  <si>
    <t>Het moment waarop de vraag met name relevant is</t>
  </si>
  <si>
    <t>BDM</t>
  </si>
  <si>
    <t>SE</t>
  </si>
  <si>
    <t>ISM</t>
  </si>
  <si>
    <t>NSE</t>
  </si>
  <si>
    <t>Heb je het naar je zin, wat maakt het project interessant?</t>
  </si>
  <si>
    <t>Heb je voldoende uitdaging?</t>
  </si>
  <si>
    <t xml:space="preserve"> -- Selecteer beroepstaak --</t>
  </si>
  <si>
    <t xml:space="preserve">Welke professionele vaardigheid van bedrijfsmentor/opdrachtgever/medewerkers 
zou je graag ook willen beheersen? </t>
  </si>
  <si>
    <t>Het uitvoeren van een stakeholder- en/of cultuuranalyse</t>
  </si>
  <si>
    <t>Het 'cleanen van de data' om tot een bruikbare, consistente dataset te komen.</t>
  </si>
  <si>
    <t>Het opstellen van een implementatieplan</t>
  </si>
  <si>
    <t>Het opstellen van een benefit logic of business case</t>
  </si>
  <si>
    <t>Het selecteren van een kansrijk model t.b.v. 'predictive analysis'</t>
  </si>
  <si>
    <t>Het instellen van de hyperparameters van een geselecteerd datamodel</t>
  </si>
  <si>
    <t>Het ontwerpen van een consistent geheel van datadefinities</t>
  </si>
  <si>
    <t>Het ontwerpen van een zoekmethodiek waarop informatie kan worden teruggevonden</t>
  </si>
  <si>
    <t>Het ontwerpen van een wijze waarop informatie gestructureerd kan worden opgeslagen</t>
  </si>
  <si>
    <t>Het opstellen van een IP-planning</t>
  </si>
  <si>
    <t>Het kiezen van passende communicatieprotocollen</t>
  </si>
  <si>
    <t>Het betrekken van niet-functionele eisen in het ontwerp van een IT-systeem</t>
  </si>
  <si>
    <t>Het definieren van een HW-SW-interface om hardware te besturen vanuit software</t>
  </si>
  <si>
    <t>Het modeleren van tijdsafhankelijk gedrag in software</t>
  </si>
  <si>
    <t>Het ontwerpen van low-level communicatie tussen devices</t>
  </si>
  <si>
    <t>Het opstellen van een business continuityplan</t>
  </si>
  <si>
    <t>Het emuleren van computersystemen en netwerken in een virtuele omgeving</t>
  </si>
  <si>
    <t>Het organiseren van een gebruikersacceptatietest</t>
  </si>
  <si>
    <t>Het uitvoeren van een functionele acceptatietest</t>
  </si>
  <si>
    <t>Het verwerken van gegevens m.b.v. gedistribueerde systemen (bijvoorbeeld m.b.v. MapReduce)</t>
  </si>
  <si>
    <t>Het instellen van routers en switches met een gestructureerde configuratietaal.</t>
  </si>
  <si>
    <t>Het vertalen van adviezen naar concrete acties</t>
  </si>
  <si>
    <t>Het feitelijk uitvoeren van een implementatieplan</t>
  </si>
  <si>
    <t>Het borgen van van verbetervoorstellen in de organisatie</t>
  </si>
  <si>
    <t>het opstellen van een implementatie roadmap</t>
  </si>
  <si>
    <t>Het uitrollen van policies op verschillende lagen in de organisatie</t>
  </si>
  <si>
    <t>Het beschrijven van het datalandschap van een organisatie</t>
  </si>
  <si>
    <t>Het opstellen en beheren van een autorisatiematrix i.h.k.v. identity accessmanagement</t>
  </si>
  <si>
    <t>Het beheren van risicobeheersingsprocessen</t>
  </si>
  <si>
    <t>Het up-to-date houden van een risico-heatmap</t>
  </si>
  <si>
    <t>Het bijhouden van wetgeving en normen ten aanzien van risiscomanagement</t>
  </si>
  <si>
    <t>Het inrichten van de processen omtrent kennismanagement</t>
  </si>
  <si>
    <t>Het selecteren van een of meer passende kennismanagementtools</t>
  </si>
  <si>
    <t>Het creëren van content ten behoeve van kenismanagement (bijvoorbeeld in een vlog,</t>
  </si>
  <si>
    <t>Het creëren van een omgeving waarin kennis kan worden gedeeld</t>
  </si>
  <si>
    <t>Het stimuleren van kennisdeling in organisaties</t>
  </si>
  <si>
    <t>Het tonen van initiatief en assertiviteit</t>
  </si>
  <si>
    <t>Beroepstaak</t>
  </si>
  <si>
    <t>De student brengt helder in kaart waar, wanneer, voor wie en waarom welke problemen zich voordoen, wat de uitgangssituatie is, welke risico's er mogelijk zijn en welke (f)actoren daarbij een rol spelen.</t>
  </si>
  <si>
    <t>De student maakt op basis van analyses en best practices gemotiveerde keuzes voor de opbouw van een software project. Zowel op micro (binnen modules), meso (tussen modules) als macro (module selectie) niveau.</t>
  </si>
  <si>
    <t>De student maakt op basis van analyses en best practices gemotiveerde keuzes voor de opbouw van een datamodel of database. Hierbij wordt aandacht besteed aan de structurering van gegevens, normalisering, performance en concurrency.</t>
  </si>
  <si>
    <t>De student ontwerpt een computernetwerk, dat voldoet aan vooraf gegeven specificaties. Ontwerpkeuzes worden gemotiveerd. Voordat het ontwerp op details wordt uitgewerkt wordt een keuze gemaakt voor een passende n etwe rk/computing-archite ctu u r.</t>
  </si>
  <si>
    <t>De student maakt op basis van analyses en best practices gemotiveerde keuzes voor een systeem dat bestaat uit dedicated software die directe interactie heeft met hardware. De uitkomst is een model van de structuur, de functie en het dynamisch gedrag van het systeem. De keuze van hardwarecomponenten en het realiseren van tiidgaranties zijn vaak onderdeel van het ontwerpproces</t>
  </si>
  <si>
    <t>De student ontwerpt prototypes en interfaces om de interactie tussen een interactief computer- of informatiesysteem en gebruikers vorm te geven. Hierbij worden gebruikersgeoriënteerde methodieken ingezet.</t>
  </si>
  <si>
    <t>De student ontwerpt een stelsel van samenhangende maatregelen (preventief, detectief, correctief en / of reactief) op basis van organisatiespecifieke risico's en een daaraan gekoppelde risicostrategie. Hierbij wordt gefocust op zowel het beleidsmatige, menselijke als technische aspect.</t>
  </si>
  <si>
    <t>De student ontwerpt een computerrepresentatie van een stuk (fictieve) werkelijkheid met als doel vermaak, hypothesevorming of prototyping. Hierbij wordt nadrukkelijk aandacht besteed aan de fidelity van weergave, interactie, scenario's en beleving.</t>
  </si>
  <si>
    <t>De student stelt op basis van een gegeven ontwerp hardware en softwarecomponenten in om een beoogd IT-systeem te realiseren of optimaliseren.</t>
  </si>
  <si>
    <t>De student initieert, beheert en sluit projecten binnen een organisatiecontext op basis van projectmanagement methodieken.</t>
  </si>
  <si>
    <t>De student ontwerpt en voert interventies uit die er op gericht zijn een verandering tot stand te brengen en daarmee de effectiviteit, efficiëntie of kwaliteit van de organisatie te vergroten.</t>
  </si>
  <si>
    <t>De student heeft besef van waarden en normen (wetten, regelgeving, voorschriften) en handelt daarnaar. Taken worden adequaat en zorgvuldig uitgevoerd met inachtneming van eigen verantwoordelijkheden.</t>
  </si>
  <si>
    <t>Fase 1</t>
  </si>
  <si>
    <t>Fase 2</t>
  </si>
  <si>
    <t>ID</t>
  </si>
  <si>
    <t>Bedrijfsmentor:</t>
  </si>
  <si>
    <t>Afstudeerprogramma:</t>
  </si>
  <si>
    <t>GDS</t>
  </si>
  <si>
    <t>IoT</t>
  </si>
  <si>
    <t>CST</t>
  </si>
  <si>
    <t>C&amp;A</t>
  </si>
  <si>
    <t>DGA</t>
  </si>
  <si>
    <t>Goed</t>
  </si>
  <si>
    <t>Voldoende</t>
  </si>
  <si>
    <t>Twijfel</t>
  </si>
  <si>
    <t>Onvoldoende</t>
  </si>
  <si>
    <t>Beschrijving beroepstaak</t>
  </si>
  <si>
    <t>Tweede beoordelaar:</t>
  </si>
  <si>
    <t xml:space="preserve">Studentnummer: </t>
  </si>
  <si>
    <t xml:space="preserve">Datum fasegesprek 1: </t>
  </si>
  <si>
    <t xml:space="preserve">Datum fasegesprek 2: </t>
  </si>
  <si>
    <t>Datum fasegesprek 3:</t>
  </si>
  <si>
    <t xml:space="preserve">Opgeleverde producten: 
- 
- </t>
  </si>
  <si>
    <t>Eindcijfer:</t>
  </si>
  <si>
    <t>Datum:</t>
  </si>
  <si>
    <t>Beoordeling en ondertekening:</t>
  </si>
  <si>
    <t>ICD</t>
  </si>
  <si>
    <t>ISG</t>
  </si>
  <si>
    <t>SE dt</t>
  </si>
  <si>
    <t>Domein</t>
  </si>
  <si>
    <t>BM</t>
  </si>
  <si>
    <t>A Analyseren</t>
  </si>
  <si>
    <t>A-1</t>
  </si>
  <si>
    <t>Analyseren probleemdomein &amp; opstellen probleemstelling*</t>
  </si>
  <si>
    <t>A-2</t>
  </si>
  <si>
    <t>A-3</t>
  </si>
  <si>
    <t>A-4</t>
  </si>
  <si>
    <t>B Adviseren</t>
  </si>
  <si>
    <t>B-1</t>
  </si>
  <si>
    <t>B-2</t>
  </si>
  <si>
    <t>C Ontwerpen</t>
  </si>
  <si>
    <t>C-1</t>
  </si>
  <si>
    <t>C-2</t>
  </si>
  <si>
    <t>C-3</t>
  </si>
  <si>
    <t>C-4</t>
  </si>
  <si>
    <t>C-5</t>
  </si>
  <si>
    <t>C-6</t>
  </si>
  <si>
    <t>C-7</t>
  </si>
  <si>
    <t>C-8</t>
  </si>
  <si>
    <t>C-9</t>
  </si>
  <si>
    <t>D Realiseren</t>
  </si>
  <si>
    <t>D-1</t>
  </si>
  <si>
    <t>D-2</t>
  </si>
  <si>
    <t>D-3</t>
  </si>
  <si>
    <t>D-4</t>
  </si>
  <si>
    <t>D-5</t>
  </si>
  <si>
    <t>E Beheren</t>
  </si>
  <si>
    <t>E-1</t>
  </si>
  <si>
    <t>E-2</t>
  </si>
  <si>
    <t>E-3</t>
  </si>
  <si>
    <t>F Managen</t>
  </si>
  <si>
    <t>F-1</t>
  </si>
  <si>
    <t>F-2</t>
  </si>
  <si>
    <t>F-3</t>
  </si>
  <si>
    <t>F-4</t>
  </si>
  <si>
    <t>G Professional skills &amp; attitude</t>
  </si>
  <si>
    <t>G-a</t>
  </si>
  <si>
    <t>Effectief (Internationaal) Communiceren*</t>
  </si>
  <si>
    <t>G-b</t>
  </si>
  <si>
    <t>G-c</t>
  </si>
  <si>
    <t>Kritisch, onderzoekend &amp; methodisch werken*</t>
  </si>
  <si>
    <t>G-d</t>
  </si>
  <si>
    <t>G-e</t>
  </si>
  <si>
    <t>G-f</t>
  </si>
  <si>
    <t>Leren leren: voorbereiden op volgende studiefase &amp; beroep*</t>
  </si>
  <si>
    <t>G-g</t>
  </si>
  <si>
    <t/>
  </si>
  <si>
    <t>Verplichte beroepstaken</t>
  </si>
  <si>
    <t>Afstudeerbedrijf:</t>
  </si>
  <si>
    <t>Hoe ziet volgens jou de beoordeling van je afstuderen eruit?</t>
  </si>
  <si>
    <t>Hoe is bepaald welke stakeholders betrokken dienen te worden bij het project? Heeft dat geleid tot aanpassingen van je aanpak/planning?</t>
  </si>
  <si>
    <t>Hebben deze inzichten geleid tot een andere selectie van te demonstreren beroepstaken?</t>
  </si>
  <si>
    <t>Welke inzichten met betrekking tot de aanleiding, probleemstelling en doelstelling heeft de afgelopen fase opgeleverd?</t>
  </si>
  <si>
    <t>Hoe heb je de feedback op je afstudeerplan verwerkt in je plan van aanpak?</t>
  </si>
  <si>
    <t xml:space="preserve">Hoe is bepaald waaraan de op te leveren producten moeten voldoen om de kwaliteit ervan te waarborgen? </t>
  </si>
  <si>
    <t xml:space="preserve">Welke criteria worden gebruikt om de kwaliteit van je producten te vaststellen? </t>
  </si>
  <si>
    <t>Welke stakeholders heb je nodig om de kwaliteit van je beroepsproducten aan te tonen?</t>
  </si>
  <si>
    <t>Hoe heb je de validiteit van je bevindingen vastgesteld/vastgelegd?</t>
  </si>
  <si>
    <t>Hoe heb je de betrouwbaarheid van je bevindingen vastgesteld/vastgelegd?</t>
  </si>
  <si>
    <t>Hoe heb je de traceerbaarheid van je bevindingen vastgesteld/vastgelegd?</t>
  </si>
  <si>
    <t>Hoe heb je de volledigheid van je bevindingen vastgesteld/vastgelegd?</t>
  </si>
  <si>
    <t>Hoe heb je de bruikbaarheid van je bevindingen vastgesteld/vastgelegd?</t>
  </si>
  <si>
    <t>Op welke wijze gaat het beroepsproduct bijdragen aan de totstandkoming van het eindproduct?</t>
  </si>
  <si>
    <t>Hoe hebben eerder opgeleverde beroepsproducten bijgedragen aan de totstandkoming van dit beroepsproduct?</t>
  </si>
  <si>
    <t>Kwaliteit beroepsproduct</t>
  </si>
  <si>
    <t>Welke ruimte ervaar je om zelf keuzes t.a.v. je aanpak en uitvoering van je opdracht te maken?</t>
  </si>
  <si>
    <t>Hoe zijn de resultaten van de informatievergaring intersubjectief gemaakt?</t>
  </si>
  <si>
    <t>Hoe is tot een prioritering van de opgestelde requirements gekomen?</t>
  </si>
  <si>
    <t>Hoe is op basis van de geprioriteerde requirements tot welke oplossing(en) gekomen?</t>
  </si>
  <si>
    <t>Hoe is de gap (en de wijze waarop deze overbrugd wordt) tussen de huidige- en de gewenste situatie inzichtelijk gemaakt?</t>
  </si>
  <si>
    <t>Hoe is de impact van de implementatie van de veranderoplossing(en) inzichtelijk gemaakt?</t>
  </si>
  <si>
    <t>Hoe is het migratiepad van de implementatie van de veranderoplossing(en) inzichtelijk gemaakt?</t>
  </si>
  <si>
    <t>Hoe is de kosten/batenanalyse van de implementatie van de veranderoplossing(en) inzichtelijk gemaakt?</t>
  </si>
  <si>
    <t>Hoe is de veranderbereidheid betreffende de stakeholders ten opzichte van de implementatie van de veranderoplossing(en) inzichtelijk gemaakt?</t>
  </si>
  <si>
    <t>Hoe heb je verzamelde informatie gebruikt om de huidige situatie/probleemdomein te definiëren?</t>
  </si>
  <si>
    <t>Hoe heb je verzamelde informatie gebruikt om de requirements voor betreffende de gewenste situatie vast te stellen?</t>
  </si>
  <si>
    <t>Bedrijfsmentor</t>
  </si>
  <si>
    <t>Hoe is de bedrijfsmentor in staat gesteld om dit vast te stellen?</t>
  </si>
  <si>
    <t>Hoe wordt het opgeleverde product gebruikt?</t>
  </si>
  <si>
    <t>Lessons learned</t>
  </si>
  <si>
    <t>Waar liep je tegenaan bij het werken aan je opdracht?</t>
  </si>
  <si>
    <t>Van wie heb je welke feedback ontvangen tijdens het werken aan je beroepsproducten?</t>
  </si>
  <si>
    <t>Wat waren je belangrijkste leereffecten en ontwikkelpunten heb je daaruit meegenomen?</t>
  </si>
  <si>
    <t>Hoe hebben deze leereffecten en ontwikkelpunten invloed op de manier waarop je verder werkt aan je afstudeeropdracht?</t>
  </si>
  <si>
    <t>fase 1</t>
  </si>
  <si>
    <t>fase 2</t>
  </si>
  <si>
    <t>Welke beroepsproducten ga je in de volgende fases opleveren?</t>
  </si>
  <si>
    <t>Welke beroepstaken demonstreer je bij de volgende fases?</t>
  </si>
  <si>
    <t>Hoe zorg je ervoor dat alle betrokkenen bij jouw afstuderen doen wat er van ze verwacht wordt?</t>
  </si>
  <si>
    <t>Hebben nieuwe inzichten geleid tot een andere aanpak/planning?</t>
  </si>
  <si>
    <t>Welke methoden/technieken heb je gebruikt bij het zoeken, verzamelen en beoordelen van informatie?</t>
  </si>
  <si>
    <t>Hieronder staan voorbeeldvragen die een examinator zou kunnen stellen tijdens het fasegesprek</t>
  </si>
  <si>
    <t>Is je opdracht nog dezelfde als die in het voortraject is goedgekeurd?</t>
  </si>
  <si>
    <t>Kan je uitleggen wanneer de kwaliteit van het opgeleverde product goed is?</t>
  </si>
  <si>
    <t>Welke methoden en technieken passen bij uitstek bij jouw opdracht?</t>
  </si>
  <si>
    <t>In hoeverre voldoet het opgeleverde product aan de verwachtingen vanuit het bedrijf?</t>
  </si>
  <si>
    <t>Eerste beoordelaar:</t>
  </si>
  <si>
    <t>bt1</t>
  </si>
  <si>
    <t>bt2</t>
  </si>
  <si>
    <t>bt3</t>
  </si>
  <si>
    <t>bt4</t>
  </si>
  <si>
    <t>bt5</t>
  </si>
  <si>
    <t>bt6</t>
  </si>
  <si>
    <t>bt7</t>
  </si>
  <si>
    <t>bt8</t>
  </si>
  <si>
    <t>Indicatief cijfer:</t>
  </si>
  <si>
    <t>5,5 - 7</t>
  </si>
  <si>
    <t>4 - 5,5</t>
  </si>
  <si>
    <t>5 - 6</t>
  </si>
  <si>
    <t>3 - 5</t>
  </si>
  <si>
    <t>2 - 4</t>
  </si>
  <si>
    <t>1 - 3</t>
  </si>
  <si>
    <t>gem rang</t>
  </si>
  <si>
    <t>indicatief</t>
  </si>
  <si>
    <t>indicatief cijfer:</t>
  </si>
  <si>
    <t>Waarom is dat wat je nu oplevert van goede kwaliteit?</t>
  </si>
  <si>
    <t>Hoe is er gezorgd voor draagvlak voor de te implementeren (verander)oplossing?</t>
  </si>
  <si>
    <t>Heb je het idee dat je voor school iets anders moet doen dan voor het bedrijf?</t>
  </si>
  <si>
    <t>De opleiding sluit voor niveaubepaling aan bij het inschalingsmodel en de beheersings- facetten zoals beschreven in de HBO-i domeinbeschrijving. Hieronder staat deze toegelicht.</t>
  </si>
  <si>
    <t>Is duidelijk welke rol u heeft in het afstudeerproces van de student?</t>
  </si>
  <si>
    <t>Heeft de student u duidelijk gemaakt vanuit welk perspectief de examinatoren vanuit de opleiding kijken naar de aanpak en de gemaakte producten?</t>
  </si>
  <si>
    <t xml:space="preserve"> -- ondertekening --</t>
  </si>
  <si>
    <t>Akkoord</t>
  </si>
  <si>
    <t>Niet akkoord</t>
  </si>
  <si>
    <t>Onder protest akkoord (toelichting in Proces verbaal)</t>
  </si>
  <si>
    <t>Onderbouwing beoordeling:</t>
  </si>
  <si>
    <t>G-a Effectief (Internationaal) Communiceren</t>
  </si>
  <si>
    <t>6 - 7</t>
  </si>
  <si>
    <t>6,5 - 7</t>
  </si>
  <si>
    <t>6 - 6,5</t>
  </si>
  <si>
    <t>Extra ruimte voor overige opmerkingen  / onderwerpen die besproken zijn tijdens het fasegesprek:</t>
  </si>
  <si>
    <t>Naam gecommitteerde:</t>
  </si>
  <si>
    <t xml:space="preserve">Eindbeoordeling
</t>
  </si>
  <si>
    <t>Toelichting beoordeling en afspraken (feedback en feed forward):</t>
  </si>
  <si>
    <t>Niet / nauwelijks gedemonstreerd</t>
  </si>
  <si>
    <t>Proces verbaal</t>
  </si>
  <si>
    <t>Het uitvoeren van een statistische analyse</t>
  </si>
  <si>
    <t>Het houden van gebruikers- / stakeholdersinterviews</t>
  </si>
  <si>
    <t>-- keuze --</t>
  </si>
  <si>
    <t>goed</t>
  </si>
  <si>
    <t>voldoende</t>
  </si>
  <si>
    <t>onvoldoende</t>
  </si>
  <si>
    <t>nvd</t>
  </si>
  <si>
    <t>niet van toepassing</t>
  </si>
  <si>
    <t>-</t>
  </si>
  <si>
    <t>Gemiddelde &gt;</t>
  </si>
  <si>
    <t>Indicatie</t>
  </si>
  <si>
    <t>V1</t>
  </si>
  <si>
    <t>V2</t>
  </si>
  <si>
    <t>V3</t>
  </si>
  <si>
    <t>V4</t>
  </si>
  <si>
    <t>S1</t>
  </si>
  <si>
    <t>S2</t>
  </si>
  <si>
    <t>S3</t>
  </si>
  <si>
    <t>S4</t>
  </si>
  <si>
    <t>V ok</t>
  </si>
  <si>
    <t>S ok</t>
  </si>
  <si>
    <t>gem</t>
  </si>
  <si>
    <t>nvd ok</t>
  </si>
  <si>
    <t>&lt; 5,5</t>
  </si>
  <si>
    <t>onvoldoende = ja</t>
  </si>
  <si>
    <t>Resultaat</t>
  </si>
  <si>
    <t>5,5 &lt;&gt; 6</t>
  </si>
  <si>
    <t>6 &lt;&gt; 7</t>
  </si>
  <si>
    <t>7 &lt;&gt; 8</t>
  </si>
  <si>
    <t>8 &lt;&gt; 9</t>
  </si>
  <si>
    <t>9 &lt;&gt; 10</t>
  </si>
  <si>
    <t>Het model laat de relatie zien tussen de beheersingsfacetten (zelfstandigheid en complexiteit van de context en de inhoud). 
Hieraan wordt invulling gegeven door aan elke combinatie normen te koppelen die leidend zijn in de beoordeling van het betreffende gedrag en de betreffende situatie. 
In de kolommen van de tabel kun je zien wat er van je verwacht wordt op het gebied van zelfstandigheid, gedrag en complexiteit van je opdracht.</t>
  </si>
  <si>
    <t>Toelichting op beoordeling:</t>
  </si>
  <si>
    <t>NVD</t>
  </si>
  <si>
    <t>Niet van toepassing (in deze fase)</t>
  </si>
  <si>
    <t>Nog niet voldoende</t>
  </si>
  <si>
    <t>H B O - I C T   B E O O R D E L I N G S F O R M U L I E R   A F S T U D E R E N</t>
  </si>
  <si>
    <t>Datum herstelgesprek:</t>
  </si>
  <si>
    <r>
      <t xml:space="preserve">Indien onvoldoende
</t>
    </r>
    <r>
      <rPr>
        <b/>
        <sz val="10"/>
        <color theme="1"/>
        <rFont val="Calibri"/>
        <family val="2"/>
        <scheme val="minor"/>
      </rPr>
      <t>(graag het  beoordelingsformulier na het herstelgesprek nogmaals inleveren met hierin de afspraken):</t>
    </r>
  </si>
  <si>
    <t>Gemaakte afspraken tijdens het herstelgesprek:</t>
  </si>
  <si>
    <t>Keuring</t>
  </si>
  <si>
    <t>fase 3</t>
  </si>
  <si>
    <t>Herkansing/ eindassessment (Fase 4)</t>
  </si>
  <si>
    <t>Inleverdatum fase 4:</t>
  </si>
  <si>
    <t>Opeleverde producten:
Afstudeerplan</t>
  </si>
  <si>
    <t>Niveau</t>
  </si>
  <si>
    <t>Semester</t>
  </si>
  <si>
    <t>s7</t>
  </si>
  <si>
    <t>INIT**</t>
  </si>
  <si>
    <t>x**</t>
  </si>
  <si>
    <t>x*</t>
  </si>
  <si>
    <t>*set beroepstaken verplicht voor iedere afstudeerder</t>
  </si>
  <si>
    <t>**De aangekruiste beroepstaken zijn onderdeel van de vaste set Innovatieskills. Aanvullend werkt de student aan beroepstaken die inhoudelijk gerelateerd zijn aan de challenge. --&gt;nog opnemen</t>
  </si>
  <si>
    <t>Vragen A-1: Analyseren probleemdomein &amp; opstellen probleemstelling</t>
  </si>
  <si>
    <t xml:space="preserve">G-a Effectief (Internationaal) Communiceren  </t>
  </si>
  <si>
    <t>Hoe heb je zicht gekregen op je doelgroep?</t>
  </si>
  <si>
    <t>Hoe was de afstemming met de stakeholders en hoe heb je dat georganiseerd?</t>
  </si>
  <si>
    <t xml:space="preserve">Hoe heb je de resultaten van je interviews geverifieerd? </t>
  </si>
  <si>
    <t>Hieronder staan voorbeeldvragen die een examinator zou kunnen stellen om een beroepstaak uit te vragen. De voorbeeldvragen betreffen alleen de verplichte beroepstaken.</t>
  </si>
  <si>
    <t>Wat heb je gedaan om zicht te krijgen op het probleemgebied?</t>
  </si>
  <si>
    <t>Wat heb je afgeleerd tijdens je afstudeertraject?</t>
  </si>
  <si>
    <t>In hoeverre hebben nieuwe inzichten geleid tot een andere aanpak/planning?</t>
  </si>
  <si>
    <t>Kan je iets vertellen over eventuele wijzigingen in jouw project ten opzichte van de opdracht die je in het voortraject geformuleerd hebt?</t>
  </si>
  <si>
    <t>In hoeverre kan je de beroepstaken demonstreren met het uitvoeren van de opdracht?</t>
  </si>
  <si>
    <t>Wat maakt het project interessant voor jou?</t>
  </si>
  <si>
    <t xml:space="preserve">Wat waren je belangrijkste leereffecten? Welke ontwikkelpunten heb je daaruit meegenomen? </t>
  </si>
  <si>
    <t>Van wie heb je welke feedback ontvangen tijdens het werken aan je beroepsproducten? Wat heb je met die feedback gedaan?</t>
  </si>
  <si>
    <t>Vertel eens iets over hoe je de keuze voor methode en technieken afgestemd hebt op de organisatie. Hoe heb je daarbij rekening gehouden met de stakeholders?</t>
  </si>
  <si>
    <t>Welke professionele vaardigheid van bedrijfsmentor/opdrachtgever/medewerkers zou je ook graag willen beheersen?</t>
  </si>
  <si>
    <t xml:space="preserve">Welke vaardigheden heb jij nog te ontwikkelen met het oog op de komende beroepspraktijk? </t>
  </si>
  <si>
    <t>Hoe zorg je ervoor dat de betrokkenen bij jouw afstuderen doen wat er van ze verwacht wordt?</t>
  </si>
  <si>
    <t>Hoe heb je de stakeholders in kaart gebracht? Waarom deze stakeholders?</t>
  </si>
  <si>
    <t>Hoe ben je tot je aanpak gekomen? Op basis waarvan heb je voor deze methoden en technieken gekozen?</t>
  </si>
  <si>
    <t>Hoe heb je aangetoond dat wat je nu oplevert, voldoet aan de vooraf afgesproken kwaliteit?</t>
  </si>
  <si>
    <t>Waar liep je tegenaan bij het werken aan je opdracht? Hoe heb je eventuele problemen opgelost? Welke leerpunten heb je aan de hand daarvan geformuleerd?</t>
  </si>
  <si>
    <t xml:space="preserve">Welke criteria gebruik je om de kwaliteit van je producten vast te stellen? </t>
  </si>
  <si>
    <t>Wat zou je anders doen als je, met alle kennis van nu, je afstudeeropdracht opnieuw zou beginnen?</t>
  </si>
  <si>
    <r>
      <t xml:space="preserve">Hoe is de </t>
    </r>
    <r>
      <rPr>
        <i/>
        <sz val="11"/>
        <color rgb="FF000000"/>
        <rFont val="Calibri"/>
        <family val="2"/>
      </rPr>
      <t>gap</t>
    </r>
    <r>
      <rPr>
        <sz val="11"/>
        <color rgb="FF000000"/>
        <rFont val="Calibri"/>
        <family val="2"/>
      </rPr>
      <t xml:space="preserve"> (en de wijze waarop deze overbrugd wordt) tussen de huidige- en de gewenste situatie inzichtelijk gemaakt voor het bedrijf?</t>
    </r>
  </si>
  <si>
    <t>Wat is je startpunt bij het leren van nieuwe vaardigheden?</t>
  </si>
  <si>
    <t>Welke persoonlijke ontwikkelpunten heb je geformuleerd?</t>
  </si>
  <si>
    <t>Waar ben je het meest trots op?</t>
  </si>
  <si>
    <t>Zijn er punten niet aan bod gekomen, die je nog wel onder de aandacht wilt brengen?</t>
  </si>
  <si>
    <t>Welke gesprekstechnieken heb je ingezet? Waarom deze? Welke alternatieven heb je overwogen?</t>
  </si>
  <si>
    <t>Op welke wijze gaat dit beroepsproduct bijdragen aan de totstandkoming van het eindproduct?</t>
  </si>
  <si>
    <t>Hoe heb je verzamelde informatie gebruikt om de requirements voor je product vast te stellen?</t>
  </si>
  <si>
    <t>Wat was je doelstelling? In hoeverre heb je je doelstelling bereikt? Hoe heb je dat aangetoond?</t>
  </si>
  <si>
    <t>Welke methoden en technieken passen bij jouw opdracht? Welke alternatieven heb je overwogen?</t>
  </si>
  <si>
    <t>Sogeti</t>
  </si>
  <si>
    <t>Reinier van Reenen</t>
  </si>
  <si>
    <t>William van der Meijden</t>
  </si>
  <si>
    <t>19137400</t>
  </si>
  <si>
    <t>Klaas Jan Mollema</t>
  </si>
  <si>
    <t>Jelle Hijlarides</t>
  </si>
  <si>
    <t>activiteiten en planning lijken passend bij de opdracht.</t>
  </si>
  <si>
    <t>duidelijk plan</t>
  </si>
  <si>
    <t>duidelijke opdrachtomschrijving</t>
  </si>
  <si>
    <t>onderbouwing vanuit literatuur is niet aanwezig, maar die volgt vast bij het plan van aanpak</t>
  </si>
  <si>
    <t>Opgeleverde producten: 
plan van aanpak
Requirements.docx
Onderzoeksrapport.docx
Reflectielogboek.docx
Chart Projectplanning.xlsx
Interview Johan
Interview Marijn
Interview Reinier</t>
  </si>
  <si>
    <t>desk research; demi gestructureerde interviews; stakeholder analyse; risico analyse. In de interviews technische, maar ookm gebruikersgerichtte vragen gesteld. Daaarnaast ook de business onderzocht. Stakeholder analyse gedaan.</t>
  </si>
  <si>
    <t>start gemaakt met het verzamelen van requirements. Rest volgt in de volgende fase.</t>
  </si>
  <si>
    <t>Begin gemaakt met reflectie. Duidelijk hoe ontvangen feedback direct verwerkt wordt.  Reflectie mag naast de feedback van docenten en begeleider ook gaan bestaan uit reflectie op eigen functioneren.</t>
  </si>
  <si>
    <t xml:space="preserve">Beoordelingen zijn voor deze fase: je bent dus voor deze fase op niveau bezig voor je algemene beroepstaken. </t>
  </si>
  <si>
    <t>Onderbouwing vanuit literatuur is aanwezig. Methodisch gewerkt en ook in de planvorming uitgegaan van methodische aanpak. Kwalitatief onderzoek; interview analyse; SWOT analyse; Moscow; Waterval bewust gekozen voor deze fase; Scrum voor de volgende fase. Slime tabel gebruikt voor vergeleiking van oplossingen.</t>
  </si>
  <si>
    <t>William communiceert zowel op schrift als in de presentatie erg helder. Het wordt snel duidelijk wat hij van plan is; hoe het project in elkaar steekt en wat er voor probleem opgelost moet worden Documenten in begrijpelijke taal geschreven (hier ook op gelet). Visuele hulpmiddelen gebruikt..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</si>
</sst>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Arial"/>
      <family val="2"/>
    </font>
    <font>
      <sz val="16"/>
      <name val="Arial"/>
      <family val="2"/>
    </font>
    <font>
      <b/>
      <sz val="12"/>
      <name val="Arial"/>
      <family val="2"/>
    </font>
    <font>
      <b/>
      <sz val="10"/>
      <name val="Arial"/>
      <family val="2"/>
    </font>
    <font>
      <b/>
      <sz val="14"/>
      <name val="Arial"/>
      <family val="2"/>
    </font>
    <font>
      <u/>
      <sz val="12"/>
      <color theme="10"/>
      <name val="Calibri"/>
      <family val="2"/>
      <scheme val="minor"/>
    </font>
    <font>
      <u/>
      <sz val="12"/>
      <color theme="11"/>
      <name val="Calibri"/>
      <family val="2"/>
      <scheme val="minor"/>
    </font>
    <font>
      <b/>
      <sz val="11"/>
      <name val="Arial"/>
      <family val="2"/>
    </font>
    <font>
      <sz val="10"/>
      <color theme="1"/>
      <name val="Arial"/>
      <family val="2"/>
    </font>
    <font>
      <sz val="9"/>
      <name val="Arial"/>
      <family val="2"/>
    </font>
    <font>
      <sz val="12"/>
      <color theme="1"/>
      <name val="Calibri"/>
      <family val="2"/>
    </font>
    <font>
      <b/>
      <sz val="9"/>
      <color theme="1"/>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2"/>
      <color theme="0"/>
      <name val="Calibri"/>
      <family val="2"/>
      <scheme val="minor"/>
    </font>
    <font>
      <b/>
      <sz val="11"/>
      <color theme="1"/>
      <name val="Calibri"/>
      <family val="2"/>
      <scheme val="minor"/>
    </font>
    <font>
      <sz val="9"/>
      <name val="Calibri"/>
      <family val="2"/>
      <scheme val="minor"/>
    </font>
    <font>
      <sz val="12"/>
      <color theme="0" tint="-4.9989318521683403E-2"/>
      <name val="Calibri"/>
      <family val="2"/>
      <scheme val="minor"/>
    </font>
    <font>
      <sz val="8"/>
      <name val="Calibri"/>
      <family val="2"/>
      <scheme val="minor"/>
    </font>
    <font>
      <i/>
      <sz val="11"/>
      <color theme="0" tint="-0.249977111117893"/>
      <name val="Calibri"/>
      <family val="2"/>
      <scheme val="minor"/>
    </font>
    <font>
      <sz val="12"/>
      <color theme="0"/>
      <name val="Calibri"/>
      <family val="2"/>
      <scheme val="minor"/>
    </font>
    <font>
      <b/>
      <sz val="12"/>
      <color theme="0"/>
      <name val="Garamond"/>
      <family val="1"/>
    </font>
    <font>
      <sz val="12"/>
      <color theme="9" tint="0.79998168889431442"/>
      <name val="Calibri"/>
      <family val="2"/>
      <scheme val="minor"/>
    </font>
    <font>
      <sz val="11"/>
      <name val="Calibri"/>
      <family val="2"/>
      <scheme val="minor"/>
    </font>
    <font>
      <strike/>
      <sz val="11"/>
      <color rgb="FFFF0000"/>
      <name val="Calibri"/>
      <family val="2"/>
      <scheme val="minor"/>
    </font>
    <font>
      <sz val="12"/>
      <color theme="1"/>
      <name val="Aptos"/>
      <family val="2"/>
    </font>
    <font>
      <sz val="12"/>
      <color rgb="FFFFFFFF"/>
      <name val="Calibri"/>
      <family val="2"/>
    </font>
    <font>
      <sz val="11"/>
      <color rgb="FF000000"/>
      <name val="Calibri"/>
      <family val="2"/>
    </font>
    <font>
      <i/>
      <sz val="11"/>
      <color rgb="FF000000"/>
      <name val="Calibri"/>
      <family val="2"/>
    </font>
  </fonts>
  <fills count="50">
    <fill>
      <patternFill patternType="none"/>
    </fill>
    <fill>
      <patternFill patternType="gray125"/>
    </fill>
    <fill>
      <patternFill patternType="solid">
        <fgColor theme="0" tint="-0.249977111117893"/>
        <bgColor indexed="64"/>
      </patternFill>
    </fill>
    <fill>
      <patternFill patternType="solid">
        <fgColor rgb="FFFFFF99"/>
        <bgColor indexed="64"/>
      </patternFill>
    </fill>
    <fill>
      <patternFill patternType="solid">
        <fgColor rgb="FFFFC000"/>
        <bgColor indexed="64"/>
      </patternFill>
    </fill>
    <fill>
      <patternFill patternType="solid">
        <fgColor rgb="FFFFCC00"/>
        <bgColor indexed="64"/>
      </patternFill>
    </fill>
    <fill>
      <patternFill patternType="solid">
        <fgColor rgb="FFFFFF66"/>
        <bgColor indexed="64"/>
      </patternFill>
    </fill>
    <fill>
      <patternFill patternType="solid">
        <fgColor rgb="FFBFBFBF"/>
        <bgColor indexed="64"/>
      </patternFill>
    </fill>
    <fill>
      <patternFill patternType="solid">
        <fgColor rgb="FFE5E0EC"/>
        <bgColor indexed="64"/>
      </patternFill>
    </fill>
    <fill>
      <patternFill patternType="solid">
        <fgColor rgb="FFB2A2C7"/>
        <bgColor indexed="64"/>
      </patternFill>
    </fill>
    <fill>
      <patternFill patternType="solid">
        <fgColor rgb="FFCCC1D9"/>
        <bgColor indexed="64"/>
      </patternFill>
    </fill>
    <fill>
      <patternFill patternType="solid">
        <fgColor rgb="FFDBE5F1"/>
        <bgColor indexed="64"/>
      </patternFill>
    </fill>
    <fill>
      <patternFill patternType="solid">
        <fgColor rgb="FF95B3D7"/>
        <bgColor indexed="64"/>
      </patternFill>
    </fill>
    <fill>
      <patternFill patternType="solid">
        <fgColor rgb="FFB8CCE4"/>
        <bgColor indexed="64"/>
      </patternFill>
    </fill>
    <fill>
      <patternFill patternType="solid">
        <fgColor rgb="FFC3D69B"/>
        <bgColor indexed="64"/>
      </patternFill>
    </fill>
    <fill>
      <patternFill patternType="solid">
        <fgColor rgb="FFF2F2F2"/>
        <bgColor indexed="64"/>
      </patternFill>
    </fill>
    <fill>
      <patternFill patternType="solid">
        <fgColor theme="0" tint="-0.14999847407452621"/>
        <bgColor indexed="64"/>
      </patternFill>
    </fill>
    <fill>
      <patternFill patternType="solid">
        <fgColor rgb="FFF2DCDB"/>
        <bgColor indexed="64"/>
      </patternFill>
    </fill>
    <fill>
      <patternFill patternType="solid">
        <fgColor rgb="FFB9CCE4"/>
        <bgColor indexed="64"/>
      </patternFill>
    </fill>
    <fill>
      <patternFill patternType="solid">
        <fgColor rgb="FFC3D69C"/>
        <bgColor indexed="64"/>
      </patternFill>
    </fill>
    <fill>
      <patternFill patternType="solid">
        <fgColor rgb="FFD7E3BD"/>
        <bgColor indexed="64"/>
      </patternFill>
    </fill>
    <fill>
      <patternFill patternType="solid">
        <fgColor rgb="FFEBF2DE"/>
        <bgColor indexed="64"/>
      </patternFill>
    </fill>
    <fill>
      <patternFill patternType="solid">
        <fgColor rgb="FFFEEBDA"/>
        <bgColor indexed="64"/>
      </patternFill>
    </fill>
    <fill>
      <patternFill patternType="solid">
        <fgColor rgb="FFFBC18F"/>
        <bgColor indexed="64"/>
      </patternFill>
    </fill>
    <fill>
      <patternFill patternType="solid">
        <fgColor rgb="FFFBD6B5"/>
        <bgColor indexed="64"/>
      </patternFill>
    </fill>
    <fill>
      <patternFill patternType="solid">
        <fgColor rgb="FFDA9694"/>
        <bgColor indexed="64"/>
      </patternFill>
    </fill>
    <fill>
      <patternFill patternType="solid">
        <fgColor rgb="FFE5B9B8"/>
        <bgColor indexed="64"/>
      </patternFill>
    </fill>
    <fill>
      <patternFill patternType="solid">
        <fgColor rgb="FFCABFD7"/>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7FCFF"/>
        <bgColor indexed="64"/>
      </patternFill>
    </fill>
    <fill>
      <patternFill patternType="solid">
        <fgColor rgb="FFFFEBEB"/>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rgb="FFEFFFEF"/>
        <bgColor indexed="64"/>
      </patternFill>
    </fill>
    <fill>
      <patternFill patternType="solid">
        <fgColor rgb="FFCCFFC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2"/>
        <bgColor indexed="64"/>
      </patternFill>
    </fill>
    <fill>
      <patternFill patternType="solid">
        <fgColor rgb="FFC65911"/>
        <bgColor indexed="64"/>
      </patternFill>
    </fill>
    <fill>
      <patternFill patternType="solid">
        <fgColor rgb="FFE2EFDA"/>
        <bgColor indexed="64"/>
      </patternFill>
    </fill>
  </fills>
  <borders count="6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thin">
        <color auto="1"/>
      </left>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top style="thin">
        <color auto="1"/>
      </top>
      <bottom/>
      <diagonal/>
    </border>
    <border>
      <left/>
      <right style="thick">
        <color auto="1"/>
      </right>
      <top/>
      <bottom/>
      <diagonal/>
    </border>
    <border>
      <left/>
      <right style="medium">
        <color auto="1"/>
      </right>
      <top style="thick">
        <color auto="1"/>
      </top>
      <bottom/>
      <diagonal/>
    </border>
    <border>
      <left style="thick">
        <color auto="1"/>
      </left>
      <right style="thin">
        <color auto="1"/>
      </right>
      <top style="thick">
        <color auto="1"/>
      </top>
      <bottom/>
      <diagonal/>
    </border>
    <border>
      <left style="thick">
        <color auto="1"/>
      </left>
      <right style="thin">
        <color auto="1"/>
      </right>
      <top/>
      <bottom/>
      <diagonal/>
    </border>
    <border>
      <left style="thick">
        <color auto="1"/>
      </left>
      <right style="thin">
        <color auto="1"/>
      </right>
      <top/>
      <bottom style="thick">
        <color auto="1"/>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thick">
        <color theme="9" tint="-0.499984740745262"/>
      </left>
      <right/>
      <top style="thick">
        <color theme="9" tint="-0.499984740745262"/>
      </top>
      <bottom style="thin">
        <color auto="1"/>
      </bottom>
      <diagonal/>
    </border>
    <border>
      <left style="thick">
        <color theme="9" tint="-0.499984740745262"/>
      </left>
      <right/>
      <top/>
      <bottom style="thin">
        <color auto="1"/>
      </bottom>
      <diagonal/>
    </border>
    <border>
      <left style="thick">
        <color theme="9" tint="-0.499984740745262"/>
      </left>
      <right/>
      <top style="thin">
        <color auto="1"/>
      </top>
      <bottom style="thin">
        <color auto="1"/>
      </bottom>
      <diagonal/>
    </border>
    <border>
      <left style="thick">
        <color theme="9" tint="-0.499984740745262"/>
      </left>
      <right/>
      <top style="thin">
        <color auto="1"/>
      </top>
      <bottom style="thick">
        <color theme="9" tint="-0.499984740745262"/>
      </bottom>
      <diagonal/>
    </border>
    <border>
      <left style="medium">
        <color auto="1"/>
      </left>
      <right style="thin">
        <color auto="1"/>
      </right>
      <top style="thick">
        <color theme="9" tint="-0.499984740745262"/>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style="thick">
        <color theme="9" tint="-0.499984740745262"/>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style="medium">
        <color auto="1"/>
      </right>
      <top/>
      <bottom style="medium">
        <color auto="1"/>
      </bottom>
      <diagonal/>
    </border>
    <border>
      <left style="medium">
        <color auto="1"/>
      </left>
      <right/>
      <top style="thin">
        <color auto="1"/>
      </top>
      <bottom style="thick">
        <color theme="9" tint="-0.499984740745262"/>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diagonal/>
    </border>
  </borders>
  <cellStyleXfs count="34">
    <xf numFmtId="0" fontId="0" fillId="0" borderId="0"/>
    <xf numFmtId="0" fontId="16" fillId="0" borderId="0"/>
    <xf numFmtId="0" fontId="2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cellStyleXfs>
  <cellXfs count="480">
    <xf numFmtId="0" fontId="0" fillId="0" borderId="0" xfId="0"/>
    <xf numFmtId="0" fontId="18" fillId="0" borderId="0" xfId="1" applyFont="1"/>
    <xf numFmtId="0" fontId="16" fillId="0" borderId="0" xfId="1"/>
    <xf numFmtId="0" fontId="16" fillId="0" borderId="0" xfId="1" applyAlignment="1">
      <alignment horizontal="center"/>
    </xf>
    <xf numFmtId="0" fontId="16" fillId="0" borderId="0" xfId="1" applyAlignment="1">
      <alignment wrapText="1"/>
    </xf>
    <xf numFmtId="0" fontId="17" fillId="0" borderId="0" xfId="1" applyFont="1" applyAlignment="1">
      <alignment horizontal="center"/>
    </xf>
    <xf numFmtId="0" fontId="17" fillId="7" borderId="1" xfId="1" applyFont="1" applyFill="1" applyBorder="1" applyAlignment="1">
      <alignment wrapText="1"/>
    </xf>
    <xf numFmtId="0" fontId="17" fillId="7" borderId="1" xfId="1" applyFont="1" applyFill="1" applyBorder="1" applyAlignment="1">
      <alignment horizontal="center" vertical="center" wrapText="1"/>
    </xf>
    <xf numFmtId="0" fontId="25" fillId="9" borderId="1" xfId="1" applyFont="1" applyFill="1" applyBorder="1" applyAlignment="1">
      <alignment horizontal="left" vertical="center" wrapText="1"/>
    </xf>
    <xf numFmtId="0" fontId="25" fillId="10" borderId="1" xfId="1" applyFont="1" applyFill="1" applyBorder="1" applyAlignment="1">
      <alignment vertical="center" wrapText="1"/>
    </xf>
    <xf numFmtId="0" fontId="25" fillId="10" borderId="1" xfId="1" applyFont="1" applyFill="1" applyBorder="1" applyAlignment="1">
      <alignment wrapText="1"/>
    </xf>
    <xf numFmtId="0" fontId="25" fillId="12" borderId="1" xfId="1" applyFont="1" applyFill="1" applyBorder="1" applyAlignment="1">
      <alignment vertical="center" wrapText="1"/>
    </xf>
    <xf numFmtId="0" fontId="25" fillId="12" borderId="1" xfId="1" applyFont="1" applyFill="1" applyBorder="1" applyAlignment="1">
      <alignment wrapText="1"/>
    </xf>
    <xf numFmtId="0" fontId="25" fillId="13" borderId="1" xfId="1" applyFont="1" applyFill="1" applyBorder="1" applyAlignment="1">
      <alignment vertical="center" wrapText="1"/>
    </xf>
    <xf numFmtId="0" fontId="25" fillId="13" borderId="1" xfId="1" applyFont="1" applyFill="1" applyBorder="1" applyAlignment="1">
      <alignment wrapText="1"/>
    </xf>
    <xf numFmtId="0" fontId="25" fillId="14" borderId="1" xfId="1" applyFont="1" applyFill="1" applyBorder="1" applyAlignment="1">
      <alignment vertical="center" wrapText="1"/>
    </xf>
    <xf numFmtId="0" fontId="25" fillId="20" borderId="1" xfId="1" applyFont="1" applyFill="1" applyBorder="1" applyAlignment="1">
      <alignment vertical="center" wrapText="1"/>
    </xf>
    <xf numFmtId="0" fontId="25" fillId="14" borderId="1" xfId="1" applyFont="1" applyFill="1" applyBorder="1" applyAlignment="1">
      <alignment wrapText="1"/>
    </xf>
    <xf numFmtId="0" fontId="25" fillId="20" borderId="1" xfId="1" applyFont="1" applyFill="1" applyBorder="1" applyAlignment="1">
      <alignment wrapText="1"/>
    </xf>
    <xf numFmtId="0" fontId="25" fillId="23" borderId="1" xfId="1" applyFont="1" applyFill="1" applyBorder="1" applyAlignment="1">
      <alignment vertical="center" wrapText="1"/>
    </xf>
    <xf numFmtId="0" fontId="21" fillId="0" borderId="0" xfId="1" applyFont="1" applyAlignment="1">
      <alignment wrapText="1"/>
    </xf>
    <xf numFmtId="0" fontId="17" fillId="0" borderId="0" xfId="1" applyFont="1" applyAlignment="1">
      <alignment horizontal="center" vertical="center"/>
    </xf>
    <xf numFmtId="0" fontId="21" fillId="0" borderId="0" xfId="1" applyFont="1" applyAlignment="1">
      <alignment horizontal="center" wrapText="1"/>
    </xf>
    <xf numFmtId="0" fontId="16" fillId="0" borderId="0" xfId="1" applyAlignment="1">
      <alignment vertical="center"/>
    </xf>
    <xf numFmtId="0" fontId="16" fillId="0" borderId="0" xfId="1" applyAlignment="1">
      <alignment vertical="center" wrapText="1"/>
    </xf>
    <xf numFmtId="0" fontId="19" fillId="0" borderId="0" xfId="1" applyFont="1" applyAlignment="1">
      <alignment wrapText="1"/>
    </xf>
    <xf numFmtId="0" fontId="0" fillId="0" borderId="0" xfId="0" quotePrefix="1"/>
    <xf numFmtId="0" fontId="27" fillId="0" borderId="0" xfId="0" applyFont="1"/>
    <xf numFmtId="0" fontId="27" fillId="0" borderId="0" xfId="0" applyFont="1" applyAlignment="1">
      <alignment horizontal="center"/>
    </xf>
    <xf numFmtId="0" fontId="25" fillId="9" borderId="1" xfId="1" applyFont="1" applyFill="1" applyBorder="1" applyAlignment="1">
      <alignment vertical="center" wrapText="1"/>
    </xf>
    <xf numFmtId="0" fontId="25" fillId="9" borderId="1" xfId="1" applyFont="1" applyFill="1" applyBorder="1" applyAlignment="1">
      <alignment wrapText="1"/>
    </xf>
    <xf numFmtId="0" fontId="25" fillId="27" borderId="1" xfId="1" applyFont="1" applyFill="1" applyBorder="1" applyAlignment="1">
      <alignment vertical="center" wrapText="1"/>
    </xf>
    <xf numFmtId="0" fontId="25" fillId="27" borderId="1" xfId="1" applyFont="1" applyFill="1" applyBorder="1" applyAlignment="1">
      <alignment wrapText="1"/>
    </xf>
    <xf numFmtId="0" fontId="25" fillId="23" borderId="1" xfId="1" applyFont="1" applyFill="1" applyBorder="1" applyAlignment="1">
      <alignment wrapText="1"/>
    </xf>
    <xf numFmtId="0" fontId="25" fillId="24" borderId="1" xfId="1" applyFont="1" applyFill="1" applyBorder="1" applyAlignment="1">
      <alignment horizontal="left" vertical="center" wrapText="1"/>
    </xf>
    <xf numFmtId="0" fontId="25" fillId="24" borderId="1" xfId="1" applyFont="1" applyFill="1" applyBorder="1" applyAlignment="1">
      <alignment wrapText="1"/>
    </xf>
    <xf numFmtId="0" fontId="25" fillId="24" borderId="1" xfId="1" applyFont="1" applyFill="1" applyBorder="1" applyAlignment="1">
      <alignment vertical="center" wrapText="1"/>
    </xf>
    <xf numFmtId="0" fontId="25" fillId="2" borderId="1" xfId="1" applyFont="1" applyFill="1" applyBorder="1" applyAlignment="1">
      <alignment horizontal="left" vertical="center" wrapText="1"/>
    </xf>
    <xf numFmtId="0" fontId="25" fillId="2" borderId="1" xfId="1" applyFont="1" applyFill="1" applyBorder="1" applyAlignment="1">
      <alignment wrapText="1"/>
    </xf>
    <xf numFmtId="0" fontId="25" fillId="16" borderId="1" xfId="1" applyFont="1" applyFill="1" applyBorder="1" applyAlignment="1">
      <alignment horizontal="left" vertical="center" wrapText="1"/>
    </xf>
    <xf numFmtId="0" fontId="25" fillId="25" borderId="1" xfId="1" applyFont="1" applyFill="1" applyBorder="1" applyAlignment="1">
      <alignment wrapText="1"/>
    </xf>
    <xf numFmtId="0" fontId="25" fillId="26" borderId="1" xfId="1" applyFont="1" applyFill="1" applyBorder="1" applyAlignment="1">
      <alignment vertical="center" wrapText="1"/>
    </xf>
    <xf numFmtId="0" fontId="25" fillId="26" borderId="1" xfId="1" applyFont="1" applyFill="1" applyBorder="1" applyAlignment="1">
      <alignment wrapText="1"/>
    </xf>
    <xf numFmtId="0" fontId="25" fillId="5" borderId="1" xfId="1" applyFont="1" applyFill="1" applyBorder="1" applyAlignment="1">
      <alignment wrapText="1"/>
    </xf>
    <xf numFmtId="0" fontId="25" fillId="5" borderId="1" xfId="1" applyFont="1" applyFill="1" applyBorder="1" applyAlignment="1">
      <alignment vertical="center" wrapText="1"/>
    </xf>
    <xf numFmtId="0" fontId="25" fillId="6" borderId="1" xfId="1" applyFont="1" applyFill="1" applyBorder="1" applyAlignment="1">
      <alignment vertical="center" wrapText="1"/>
    </xf>
    <xf numFmtId="0" fontId="25" fillId="6" borderId="1" xfId="1" applyFont="1" applyFill="1" applyBorder="1" applyAlignment="1">
      <alignment wrapText="1"/>
    </xf>
    <xf numFmtId="0" fontId="25" fillId="4" borderId="1" xfId="1" applyFont="1" applyFill="1" applyBorder="1" applyAlignment="1">
      <alignment vertical="center" wrapText="1"/>
    </xf>
    <xf numFmtId="0" fontId="25" fillId="4" borderId="1" xfId="1" applyFont="1" applyFill="1" applyBorder="1" applyAlignment="1">
      <alignment wrapText="1"/>
    </xf>
    <xf numFmtId="0" fontId="25" fillId="5" borderId="1" xfId="1" applyFont="1" applyFill="1" applyBorder="1" applyAlignment="1">
      <alignment horizontal="left" vertical="center" wrapText="1"/>
    </xf>
    <xf numFmtId="0" fontId="0" fillId="31" borderId="0" xfId="0" applyFill="1"/>
    <xf numFmtId="0" fontId="14" fillId="0" borderId="7" xfId="0" applyFont="1" applyBorder="1" applyAlignment="1">
      <alignment horizontal="right" vertical="center"/>
    </xf>
    <xf numFmtId="0" fontId="15" fillId="0" borderId="9" xfId="0" applyFont="1" applyBorder="1" applyAlignment="1">
      <alignment horizontal="left" vertical="center"/>
    </xf>
    <xf numFmtId="0" fontId="15" fillId="0" borderId="9" xfId="0" quotePrefix="1" applyFont="1" applyBorder="1" applyAlignment="1" applyProtection="1">
      <alignment horizontal="left" vertical="center"/>
      <protection locked="0"/>
    </xf>
    <xf numFmtId="0" fontId="33" fillId="31" borderId="0" xfId="0" applyFont="1" applyFill="1"/>
    <xf numFmtId="0" fontId="13" fillId="0" borderId="7" xfId="0" applyFont="1" applyBorder="1" applyAlignment="1">
      <alignment horizontal="right" vertical="center"/>
    </xf>
    <xf numFmtId="0" fontId="13" fillId="0" borderId="9" xfId="0" applyFont="1" applyBorder="1" applyAlignment="1">
      <alignment horizontal="left" vertical="center"/>
    </xf>
    <xf numFmtId="0" fontId="35" fillId="0" borderId="14" xfId="0" applyFont="1" applyBorder="1" applyAlignment="1">
      <alignment horizontal="left" vertical="top" wrapText="1"/>
    </xf>
    <xf numFmtId="0" fontId="0" fillId="31" borderId="0" xfId="0" applyFill="1" applyAlignment="1">
      <alignment wrapText="1"/>
    </xf>
    <xf numFmtId="0" fontId="15" fillId="0" borderId="8" xfId="0" applyFont="1" applyBorder="1" applyAlignment="1">
      <alignment horizontal="left" vertical="center" wrapText="1"/>
    </xf>
    <xf numFmtId="0" fontId="15" fillId="0" borderId="8" xfId="0" quotePrefix="1" applyFont="1" applyBorder="1" applyAlignment="1" applyProtection="1">
      <alignment horizontal="left" vertical="center" wrapText="1"/>
      <protection locked="0"/>
    </xf>
    <xf numFmtId="0" fontId="15" fillId="0" borderId="25" xfId="0" applyFont="1" applyBorder="1" applyAlignment="1">
      <alignment horizontal="right" vertical="center" wrapText="1"/>
    </xf>
    <xf numFmtId="0" fontId="15" fillId="0" borderId="9" xfId="0" applyFont="1" applyBorder="1" applyAlignment="1">
      <alignment horizontal="left" vertical="center" wrapText="1"/>
    </xf>
    <xf numFmtId="0" fontId="15" fillId="0" borderId="17" xfId="0" applyFont="1" applyBorder="1" applyAlignment="1">
      <alignment horizontal="left" vertical="center" wrapText="1"/>
    </xf>
    <xf numFmtId="0" fontId="32" fillId="0" borderId="18" xfId="0" applyFont="1" applyBorder="1" applyAlignment="1">
      <alignment wrapText="1"/>
    </xf>
    <xf numFmtId="0" fontId="15" fillId="0" borderId="15" xfId="0" applyFont="1" applyBorder="1" applyAlignment="1" applyProtection="1">
      <alignment horizontal="left" vertical="center" wrapText="1"/>
      <protection locked="0"/>
    </xf>
    <xf numFmtId="0" fontId="15" fillId="0" borderId="21" xfId="0" quotePrefix="1" applyFont="1" applyBorder="1" applyAlignment="1" applyProtection="1">
      <alignment horizontal="left" vertical="center" wrapText="1"/>
      <protection locked="0"/>
    </xf>
    <xf numFmtId="0" fontId="12" fillId="0" borderId="0" xfId="0" applyFont="1" applyAlignment="1">
      <alignment horizontal="right" vertical="center" wrapText="1"/>
    </xf>
    <xf numFmtId="0" fontId="14" fillId="0" borderId="0" xfId="0" applyFont="1" applyAlignment="1">
      <alignment horizontal="right" vertical="center" wrapText="1"/>
    </xf>
    <xf numFmtId="0" fontId="0" fillId="31" borderId="9" xfId="0" applyFill="1" applyBorder="1"/>
    <xf numFmtId="0" fontId="0" fillId="31" borderId="41" xfId="0" applyFill="1" applyBorder="1"/>
    <xf numFmtId="0" fontId="0" fillId="31" borderId="42" xfId="0" applyFill="1" applyBorder="1"/>
    <xf numFmtId="0" fontId="15" fillId="0" borderId="17" xfId="0" quotePrefix="1" applyFont="1" applyBorder="1" applyAlignment="1" applyProtection="1">
      <alignment horizontal="left" vertical="center" wrapText="1"/>
      <protection locked="0"/>
    </xf>
    <xf numFmtId="0" fontId="15" fillId="0" borderId="10" xfId="0" applyFont="1" applyBorder="1" applyAlignment="1">
      <alignment horizontal="right" vertical="center" wrapText="1"/>
    </xf>
    <xf numFmtId="0" fontId="14" fillId="0" borderId="25" xfId="0" applyFont="1" applyBorder="1" applyAlignment="1">
      <alignment horizontal="right" vertical="center" wrapText="1"/>
    </xf>
    <xf numFmtId="0" fontId="15" fillId="0" borderId="30" xfId="0" applyFont="1" applyBorder="1" applyAlignment="1">
      <alignment horizontal="right" vertical="center" wrapText="1"/>
    </xf>
    <xf numFmtId="0" fontId="15" fillId="0" borderId="16" xfId="0" applyFont="1" applyBorder="1" applyAlignment="1">
      <alignment horizontal="right" vertical="center" wrapText="1"/>
    </xf>
    <xf numFmtId="0" fontId="0" fillId="0" borderId="0" xfId="0" applyAlignment="1">
      <alignment horizontal="center" vertical="center"/>
    </xf>
    <xf numFmtId="0" fontId="0" fillId="35" borderId="0" xfId="0" applyFill="1"/>
    <xf numFmtId="0" fontId="0" fillId="35" borderId="0" xfId="0" applyFill="1" applyAlignment="1">
      <alignment wrapText="1"/>
    </xf>
    <xf numFmtId="0" fontId="0" fillId="35" borderId="1" xfId="0" applyFill="1" applyBorder="1"/>
    <xf numFmtId="0" fontId="0" fillId="35" borderId="1" xfId="0" applyFill="1" applyBorder="1" applyAlignment="1">
      <alignment horizontal="center" vertical="center"/>
    </xf>
    <xf numFmtId="0" fontId="0" fillId="35" borderId="4" xfId="0" applyFill="1" applyBorder="1"/>
    <xf numFmtId="0" fontId="0" fillId="35" borderId="4" xfId="0" applyFill="1" applyBorder="1" applyAlignment="1">
      <alignment horizontal="center" vertical="center"/>
    </xf>
    <xf numFmtId="0" fontId="36" fillId="34" borderId="29" xfId="0" applyFont="1" applyFill="1" applyBorder="1"/>
    <xf numFmtId="0" fontId="36" fillId="34" borderId="40" xfId="0" applyFont="1" applyFill="1" applyBorder="1"/>
    <xf numFmtId="0" fontId="36" fillId="34" borderId="46" xfId="0" applyFont="1" applyFill="1" applyBorder="1"/>
    <xf numFmtId="0" fontId="0" fillId="29" borderId="47" xfId="0" applyFill="1" applyBorder="1"/>
    <xf numFmtId="0" fontId="0" fillId="29" borderId="48" xfId="0" applyFill="1" applyBorder="1"/>
    <xf numFmtId="0" fontId="0" fillId="29" borderId="48" xfId="0" applyFill="1" applyBorder="1" applyAlignment="1">
      <alignment horizontal="center"/>
    </xf>
    <xf numFmtId="0" fontId="0" fillId="29" borderId="49" xfId="0" applyFill="1" applyBorder="1" applyAlignment="1">
      <alignment horizontal="center"/>
    </xf>
    <xf numFmtId="0" fontId="15" fillId="0" borderId="11" xfId="0" applyFont="1" applyBorder="1" applyProtection="1">
      <protection locked="0"/>
    </xf>
    <xf numFmtId="0" fontId="15" fillId="0" borderId="13" xfId="0" applyFont="1" applyBorder="1" applyProtection="1">
      <protection locked="0"/>
    </xf>
    <xf numFmtId="0" fontId="15" fillId="0" borderId="15" xfId="0" quotePrefix="1" applyFont="1" applyBorder="1" applyAlignment="1" applyProtection="1">
      <alignment horizontal="left" vertical="center"/>
      <protection locked="0"/>
    </xf>
    <xf numFmtId="0" fontId="0" fillId="0" borderId="23" xfId="0" applyBorder="1"/>
    <xf numFmtId="0" fontId="0" fillId="0" borderId="22" xfId="0" applyBorder="1"/>
    <xf numFmtId="0" fontId="9" fillId="0" borderId="16" xfId="0" applyFont="1" applyBorder="1" applyAlignment="1">
      <alignment horizontal="right" vertical="center" wrapText="1"/>
    </xf>
    <xf numFmtId="0" fontId="9" fillId="0" borderId="0" xfId="0" applyFont="1" applyAlignment="1">
      <alignment horizontal="right" vertical="center" wrapText="1"/>
    </xf>
    <xf numFmtId="0" fontId="9" fillId="0" borderId="7" xfId="0" applyFont="1" applyBorder="1" applyAlignment="1">
      <alignment horizontal="right" vertical="center"/>
    </xf>
    <xf numFmtId="49" fontId="0" fillId="31" borderId="0" xfId="0" applyNumberFormat="1" applyFill="1"/>
    <xf numFmtId="0" fontId="38" fillId="0" borderId="9" xfId="0" applyFont="1" applyBorder="1" applyAlignment="1">
      <alignment horizontal="left" vertical="center"/>
    </xf>
    <xf numFmtId="0" fontId="0" fillId="0" borderId="0" xfId="0" quotePrefix="1" applyAlignment="1">
      <alignment horizontal="left"/>
    </xf>
    <xf numFmtId="0" fontId="27" fillId="0" borderId="0" xfId="0" applyFont="1" applyAlignment="1">
      <alignment horizontal="left"/>
    </xf>
    <xf numFmtId="0" fontId="32" fillId="0" borderId="19" xfId="0" applyFont="1" applyBorder="1" applyAlignment="1">
      <alignment wrapText="1"/>
    </xf>
    <xf numFmtId="0" fontId="30" fillId="30" borderId="57" xfId="0" applyFont="1" applyFill="1" applyBorder="1" applyAlignment="1">
      <alignment horizontal="center" wrapText="1"/>
    </xf>
    <xf numFmtId="0" fontId="29" fillId="0" borderId="50" xfId="0" applyFont="1" applyBorder="1" applyAlignment="1">
      <alignment horizontal="left" vertical="top" wrapText="1"/>
    </xf>
    <xf numFmtId="0" fontId="8" fillId="0" borderId="16" xfId="0" applyFont="1" applyBorder="1" applyAlignment="1">
      <alignment horizontal="right" vertical="center"/>
    </xf>
    <xf numFmtId="0" fontId="14" fillId="0" borderId="25" xfId="0" applyFont="1" applyBorder="1" applyAlignment="1">
      <alignment horizontal="right" vertical="center"/>
    </xf>
    <xf numFmtId="0" fontId="15" fillId="0" borderId="10" xfId="0" applyFont="1" applyBorder="1" applyAlignment="1" applyProtection="1">
      <alignment horizontal="right"/>
      <protection locked="0"/>
    </xf>
    <xf numFmtId="0" fontId="15" fillId="0" borderId="12" xfId="0" applyFont="1" applyBorder="1" applyAlignment="1" applyProtection="1">
      <alignment horizontal="right"/>
      <protection locked="0"/>
    </xf>
    <xf numFmtId="0" fontId="15" fillId="0" borderId="61" xfId="0" applyFont="1" applyBorder="1" applyAlignment="1">
      <alignment horizontal="right" vertical="center"/>
    </xf>
    <xf numFmtId="0" fontId="15" fillId="0" borderId="30" xfId="0" applyFont="1" applyBorder="1" applyAlignment="1">
      <alignment horizontal="right" vertical="center"/>
    </xf>
    <xf numFmtId="0" fontId="7" fillId="0" borderId="12" xfId="0" applyFont="1" applyBorder="1" applyAlignment="1" applyProtection="1">
      <alignment horizontal="right"/>
      <protection locked="0"/>
    </xf>
    <xf numFmtId="0" fontId="0" fillId="35" borderId="1" xfId="0" applyFill="1" applyBorder="1" applyAlignment="1">
      <alignment wrapText="1"/>
    </xf>
    <xf numFmtId="0" fontId="6" fillId="0" borderId="0" xfId="0" applyFont="1" applyAlignment="1">
      <alignment horizontal="right" vertical="center" wrapText="1"/>
    </xf>
    <xf numFmtId="0" fontId="5" fillId="0" borderId="0" xfId="0" applyFont="1" applyAlignment="1">
      <alignment horizontal="right" vertical="center" wrapText="1"/>
    </xf>
    <xf numFmtId="0" fontId="5" fillId="0" borderId="7" xfId="0" applyFont="1" applyBorder="1" applyAlignment="1">
      <alignment horizontal="right" vertical="center"/>
    </xf>
    <xf numFmtId="0" fontId="31" fillId="0" borderId="10" xfId="0" applyFont="1" applyBorder="1" applyAlignment="1">
      <alignment horizontal="center" vertical="center" wrapText="1"/>
    </xf>
    <xf numFmtId="0" fontId="35" fillId="0" borderId="12" xfId="0" applyFont="1" applyBorder="1" applyAlignment="1">
      <alignment horizontal="left" vertical="top" wrapText="1"/>
    </xf>
    <xf numFmtId="0" fontId="15" fillId="0" borderId="10" xfId="0" applyFont="1" applyBorder="1" applyAlignment="1" applyProtection="1">
      <alignment horizontal="right" wrapText="1"/>
      <protection locked="0"/>
    </xf>
    <xf numFmtId="0" fontId="10" fillId="0" borderId="12" xfId="0" applyFont="1" applyBorder="1" applyAlignment="1" applyProtection="1">
      <alignment horizontal="right" wrapText="1"/>
      <protection locked="0"/>
    </xf>
    <xf numFmtId="0" fontId="29" fillId="0" borderId="18" xfId="0" applyFont="1" applyBorder="1" applyAlignment="1">
      <alignment horizontal="left" vertical="top" wrapText="1"/>
    </xf>
    <xf numFmtId="0" fontId="0" fillId="0" borderId="0" xfId="0" applyAlignment="1">
      <alignment horizontal="center"/>
    </xf>
    <xf numFmtId="0" fontId="15" fillId="0" borderId="12" xfId="0" applyFont="1" applyBorder="1" applyAlignment="1" applyProtection="1">
      <alignment horizontal="right" wrapText="1"/>
      <protection locked="0"/>
    </xf>
    <xf numFmtId="0" fontId="30" fillId="30" borderId="18" xfId="0" applyFont="1" applyFill="1" applyBorder="1" applyAlignment="1">
      <alignment horizontal="center" wrapText="1"/>
    </xf>
    <xf numFmtId="0" fontId="35" fillId="0" borderId="63" xfId="0" applyFont="1" applyBorder="1" applyAlignment="1">
      <alignment horizontal="left" vertical="top" wrapText="1"/>
    </xf>
    <xf numFmtId="0" fontId="5" fillId="0" borderId="9" xfId="0" applyFont="1" applyBorder="1" applyAlignment="1">
      <alignment horizontal="left" vertical="center" wrapText="1"/>
    </xf>
    <xf numFmtId="0" fontId="0" fillId="39" borderId="1" xfId="0" quotePrefix="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42" borderId="1" xfId="0" applyFill="1" applyBorder="1" applyAlignment="1">
      <alignment horizontal="center"/>
    </xf>
    <xf numFmtId="0" fontId="0" fillId="41" borderId="1" xfId="0" applyFill="1" applyBorder="1" applyAlignment="1">
      <alignment horizontal="center"/>
    </xf>
    <xf numFmtId="0" fontId="0" fillId="43" borderId="1" xfId="0" applyFill="1" applyBorder="1" applyAlignment="1">
      <alignment horizontal="center"/>
    </xf>
    <xf numFmtId="0" fontId="39" fillId="44" borderId="1" xfId="0" applyFont="1" applyFill="1" applyBorder="1" applyAlignment="1">
      <alignment horizontal="center"/>
    </xf>
    <xf numFmtId="0" fontId="0" fillId="38" borderId="1" xfId="0" applyFill="1" applyBorder="1" applyAlignment="1">
      <alignment horizontal="center"/>
    </xf>
    <xf numFmtId="49" fontId="40" fillId="40" borderId="1" xfId="0" applyNumberFormat="1" applyFont="1" applyFill="1" applyBorder="1" applyAlignment="1">
      <alignment horizontal="center"/>
    </xf>
    <xf numFmtId="49" fontId="40" fillId="42" borderId="1" xfId="0" applyNumberFormat="1" applyFont="1" applyFill="1" applyBorder="1" applyAlignment="1">
      <alignment horizontal="center"/>
    </xf>
    <xf numFmtId="49" fontId="40" fillId="44" borderId="1" xfId="0" applyNumberFormat="1" applyFont="1" applyFill="1" applyBorder="1" applyAlignment="1">
      <alignment horizontal="center"/>
    </xf>
    <xf numFmtId="49" fontId="40" fillId="4" borderId="1" xfId="0" applyNumberFormat="1" applyFont="1" applyFill="1" applyBorder="1" applyAlignment="1">
      <alignment horizontal="center"/>
    </xf>
    <xf numFmtId="164" fontId="38" fillId="0" borderId="9" xfId="0" applyNumberFormat="1" applyFont="1" applyBorder="1" applyAlignment="1" applyProtection="1">
      <alignment horizontal="center" vertical="center" wrapText="1"/>
      <protection hidden="1"/>
    </xf>
    <xf numFmtId="0" fontId="14" fillId="0" borderId="9" xfId="0" applyFont="1" applyBorder="1" applyAlignment="1">
      <alignment horizontal="center" vertical="center" wrapText="1"/>
    </xf>
    <xf numFmtId="0" fontId="41" fillId="40" borderId="1" xfId="0" applyFont="1" applyFill="1" applyBorder="1" applyAlignment="1">
      <alignment horizontal="center"/>
    </xf>
    <xf numFmtId="49" fontId="11" fillId="0" borderId="15" xfId="0" applyNumberFormat="1" applyFont="1" applyBorder="1" applyAlignment="1">
      <alignment vertical="center"/>
    </xf>
    <xf numFmtId="49" fontId="15" fillId="0" borderId="8" xfId="0" applyNumberFormat="1" applyFont="1" applyBorder="1" applyAlignment="1">
      <alignment horizontal="left" vertical="center"/>
    </xf>
    <xf numFmtId="49" fontId="11" fillId="0" borderId="8" xfId="0" applyNumberFormat="1" applyFont="1" applyBorder="1" applyAlignment="1">
      <alignment vertical="center"/>
    </xf>
    <xf numFmtId="49" fontId="11" fillId="0" borderId="21" xfId="0" applyNumberFormat="1" applyFont="1" applyBorder="1" applyAlignment="1">
      <alignment vertical="center"/>
    </xf>
    <xf numFmtId="0" fontId="0" fillId="0" borderId="0" xfId="0" applyAlignment="1">
      <alignment wrapText="1"/>
    </xf>
    <xf numFmtId="0" fontId="39" fillId="40" borderId="1" xfId="0" applyFont="1" applyFill="1" applyBorder="1" applyAlignment="1">
      <alignment horizontal="center"/>
    </xf>
    <xf numFmtId="0" fontId="0" fillId="0" borderId="0" xfId="0" quotePrefix="1" applyAlignment="1">
      <alignment horizontal="center"/>
    </xf>
    <xf numFmtId="0" fontId="4" fillId="0" borderId="16" xfId="0" applyFont="1" applyBorder="1" applyAlignment="1">
      <alignment horizontal="right" vertical="center" wrapText="1"/>
    </xf>
    <xf numFmtId="0" fontId="2" fillId="0" borderId="31" xfId="0" applyFont="1" applyBorder="1" applyAlignment="1">
      <alignment horizontal="right" vertical="center" wrapText="1"/>
    </xf>
    <xf numFmtId="0" fontId="0" fillId="0" borderId="32" xfId="0" applyBorder="1" applyAlignment="1">
      <alignment horizontal="center" vertical="top"/>
    </xf>
    <xf numFmtId="0" fontId="0" fillId="0" borderId="33" xfId="0" applyBorder="1" applyAlignment="1">
      <alignment horizontal="center" vertical="top"/>
    </xf>
    <xf numFmtId="0" fontId="0" fillId="0" borderId="33" xfId="0" applyBorder="1"/>
    <xf numFmtId="0" fontId="0" fillId="29" borderId="33" xfId="0" applyFill="1" applyBorder="1" applyAlignment="1">
      <alignment horizontal="center"/>
    </xf>
    <xf numFmtId="0" fontId="0" fillId="30" borderId="33" xfId="0" applyFill="1" applyBorder="1" applyAlignment="1">
      <alignment horizontal="center"/>
    </xf>
    <xf numFmtId="0" fontId="0" fillId="45" borderId="33" xfId="0" applyFill="1" applyBorder="1" applyAlignment="1">
      <alignment horizontal="center"/>
    </xf>
    <xf numFmtId="0" fontId="0" fillId="35" borderId="33" xfId="0" applyFill="1" applyBorder="1" applyAlignment="1">
      <alignment horizontal="center"/>
    </xf>
    <xf numFmtId="0" fontId="0" fillId="41" borderId="33" xfId="0" applyFill="1" applyBorder="1" applyAlignment="1">
      <alignment horizontal="center"/>
    </xf>
    <xf numFmtId="0" fontId="0" fillId="38" borderId="33" xfId="0" applyFill="1" applyBorder="1" applyAlignment="1">
      <alignment horizontal="center"/>
    </xf>
    <xf numFmtId="0" fontId="29" fillId="29" borderId="33" xfId="0" applyFont="1" applyFill="1" applyBorder="1" applyAlignment="1">
      <alignment horizontal="center"/>
    </xf>
    <xf numFmtId="0" fontId="29" fillId="30" borderId="33" xfId="0" applyFont="1" applyFill="1" applyBorder="1" applyAlignment="1">
      <alignment horizontal="center"/>
    </xf>
    <xf numFmtId="0" fontId="29" fillId="45" borderId="33" xfId="0" applyFont="1" applyFill="1" applyBorder="1" applyAlignment="1">
      <alignment horizontal="center"/>
    </xf>
    <xf numFmtId="0" fontId="29" fillId="35" borderId="33" xfId="0" applyFont="1" applyFill="1" applyBorder="1" applyAlignment="1">
      <alignment horizontal="center"/>
    </xf>
    <xf numFmtId="0" fontId="29" fillId="41" borderId="33" xfId="0" applyFont="1" applyFill="1" applyBorder="1" applyAlignment="1">
      <alignment horizontal="center"/>
    </xf>
    <xf numFmtId="0" fontId="0" fillId="46" borderId="33" xfId="0" applyFill="1" applyBorder="1" applyAlignment="1">
      <alignment horizontal="center"/>
    </xf>
    <xf numFmtId="0" fontId="0" fillId="38" borderId="34" xfId="0" applyFill="1" applyBorder="1" applyAlignment="1">
      <alignment horizontal="center"/>
    </xf>
    <xf numFmtId="0" fontId="0" fillId="0" borderId="35" xfId="0" applyBorder="1" applyAlignment="1">
      <alignment horizontal="center" vertical="top"/>
    </xf>
    <xf numFmtId="0" fontId="0" fillId="0" borderId="35" xfId="0" applyBorder="1"/>
    <xf numFmtId="0" fontId="0" fillId="29" borderId="35" xfId="0" applyFill="1" applyBorder="1" applyAlignment="1">
      <alignment horizontal="center"/>
    </xf>
    <xf numFmtId="0" fontId="0" fillId="46" borderId="35" xfId="0" applyFill="1" applyBorder="1" applyAlignment="1">
      <alignment horizontal="center"/>
    </xf>
    <xf numFmtId="0" fontId="0" fillId="45" borderId="35" xfId="0" applyFill="1" applyBorder="1" applyAlignment="1">
      <alignment horizontal="center"/>
    </xf>
    <xf numFmtId="0" fontId="0" fillId="35" borderId="35" xfId="0" applyFill="1" applyBorder="1" applyAlignment="1">
      <alignment horizontal="center"/>
    </xf>
    <xf numFmtId="0" fontId="0" fillId="41" borderId="35" xfId="0" applyFill="1" applyBorder="1" applyAlignment="1">
      <alignment horizontal="center"/>
    </xf>
    <xf numFmtId="0" fontId="0" fillId="38" borderId="15" xfId="0" applyFill="1" applyBorder="1" applyAlignment="1">
      <alignment horizontal="center"/>
    </xf>
    <xf numFmtId="0" fontId="0" fillId="0" borderId="1" xfId="0" applyBorder="1" applyAlignment="1">
      <alignment horizontal="center" vertical="top"/>
    </xf>
    <xf numFmtId="0" fontId="0" fillId="0" borderId="1" xfId="0" applyBorder="1"/>
    <xf numFmtId="0" fontId="0" fillId="29" borderId="1" xfId="0" applyFill="1" applyBorder="1" applyAlignment="1">
      <alignment horizontal="center"/>
    </xf>
    <xf numFmtId="0" fontId="0" fillId="46" borderId="1" xfId="0" applyFill="1" applyBorder="1" applyAlignment="1">
      <alignment horizontal="center"/>
    </xf>
    <xf numFmtId="0" fontId="0" fillId="45" borderId="1" xfId="0" applyFill="1" applyBorder="1" applyAlignment="1">
      <alignment horizontal="center"/>
    </xf>
    <xf numFmtId="0" fontId="0" fillId="35" borderId="1" xfId="0" applyFill="1" applyBorder="1" applyAlignment="1">
      <alignment horizontal="center"/>
    </xf>
    <xf numFmtId="0" fontId="42" fillId="38" borderId="8" xfId="0" applyFont="1" applyFill="1" applyBorder="1" applyAlignment="1">
      <alignment horizontal="center"/>
    </xf>
    <xf numFmtId="0" fontId="0" fillId="38" borderId="8" xfId="0" applyFill="1" applyBorder="1" applyAlignment="1">
      <alignment horizontal="center"/>
    </xf>
    <xf numFmtId="0" fontId="0" fillId="0" borderId="39" xfId="0" applyBorder="1" applyAlignment="1">
      <alignment horizontal="center" vertical="top"/>
    </xf>
    <xf numFmtId="0" fontId="0" fillId="0" borderId="39" xfId="0" applyBorder="1"/>
    <xf numFmtId="0" fontId="0" fillId="29" borderId="39" xfId="0" applyFill="1" applyBorder="1" applyAlignment="1">
      <alignment horizontal="center"/>
    </xf>
    <xf numFmtId="0" fontId="0" fillId="46" borderId="39" xfId="0" applyFill="1" applyBorder="1" applyAlignment="1">
      <alignment horizontal="center"/>
    </xf>
    <xf numFmtId="0" fontId="0" fillId="45" borderId="39" xfId="0" applyFill="1" applyBorder="1" applyAlignment="1">
      <alignment horizontal="center"/>
    </xf>
    <xf numFmtId="0" fontId="0" fillId="35" borderId="39" xfId="0" applyFill="1" applyBorder="1" applyAlignment="1">
      <alignment horizontal="center"/>
    </xf>
    <xf numFmtId="0" fontId="0" fillId="41" borderId="39" xfId="0" applyFill="1" applyBorder="1" applyAlignment="1">
      <alignment horizontal="center"/>
    </xf>
    <xf numFmtId="0" fontId="0" fillId="38" borderId="17" xfId="0" applyFill="1" applyBorder="1" applyAlignment="1">
      <alignment horizontal="center"/>
    </xf>
    <xf numFmtId="0" fontId="0" fillId="47" borderId="35" xfId="0" applyFill="1" applyBorder="1" applyAlignment="1">
      <alignment horizontal="center"/>
    </xf>
    <xf numFmtId="0" fontId="0" fillId="47" borderId="39" xfId="0" applyFill="1" applyBorder="1" applyAlignment="1">
      <alignment horizontal="center"/>
    </xf>
    <xf numFmtId="0" fontId="43" fillId="38" borderId="17" xfId="0" applyFont="1" applyFill="1" applyBorder="1" applyAlignment="1">
      <alignment horizontal="center"/>
    </xf>
    <xf numFmtId="0" fontId="0" fillId="47" borderId="1" xfId="0" applyFill="1" applyBorder="1" applyAlignment="1">
      <alignment horizontal="center"/>
    </xf>
    <xf numFmtId="0" fontId="42" fillId="38" borderId="15" xfId="0" applyFont="1" applyFill="1" applyBorder="1" applyAlignment="1">
      <alignment horizontal="center"/>
    </xf>
    <xf numFmtId="0" fontId="43" fillId="38" borderId="8" xfId="0" applyFont="1" applyFill="1" applyBorder="1" applyAlignment="1">
      <alignment horizontal="center"/>
    </xf>
    <xf numFmtId="0" fontId="44" fillId="0" borderId="0" xfId="0" applyFont="1"/>
    <xf numFmtId="0" fontId="46" fillId="49" borderId="66" xfId="0" applyFont="1" applyFill="1" applyBorder="1" applyAlignment="1">
      <alignment vertical="center"/>
    </xf>
    <xf numFmtId="0" fontId="46" fillId="0" borderId="60" xfId="0" applyFont="1" applyBorder="1" applyAlignment="1">
      <alignment vertical="center"/>
    </xf>
    <xf numFmtId="0" fontId="46" fillId="0" borderId="14" xfId="0" applyFont="1" applyBorder="1" applyAlignment="1">
      <alignment vertical="center"/>
    </xf>
    <xf numFmtId="0" fontId="45" fillId="48" borderId="50" xfId="0" applyFont="1" applyFill="1" applyBorder="1" applyAlignment="1">
      <alignment vertical="center"/>
    </xf>
    <xf numFmtId="0" fontId="1" fillId="0" borderId="14" xfId="0" applyFont="1" applyBorder="1"/>
    <xf numFmtId="0" fontId="46" fillId="0" borderId="60" xfId="0" applyFont="1" applyBorder="1" applyAlignment="1">
      <alignment vertical="center" wrapText="1"/>
    </xf>
    <xf numFmtId="0" fontId="46" fillId="0" borderId="67" xfId="0" applyFont="1" applyBorder="1" applyAlignment="1">
      <alignment vertical="center"/>
    </xf>
    <xf numFmtId="0" fontId="1" fillId="0" borderId="15" xfId="0" quotePrefix="1"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49" fontId="1" fillId="0" borderId="15" xfId="0" applyNumberFormat="1" applyFont="1" applyBorder="1" applyAlignment="1">
      <alignment vertical="center" wrapText="1"/>
    </xf>
    <xf numFmtId="49" fontId="1" fillId="0" borderId="8" xfId="0" applyNumberFormat="1" applyFont="1" applyBorder="1" applyAlignment="1">
      <alignment horizontal="left" vertical="center" wrapText="1"/>
    </xf>
    <xf numFmtId="49" fontId="1" fillId="0" borderId="8" xfId="0" applyNumberFormat="1" applyFont="1" applyBorder="1" applyAlignment="1">
      <alignment vertical="center" wrapText="1"/>
    </xf>
    <xf numFmtId="49" fontId="1" fillId="0" borderId="21" xfId="0" applyNumberFormat="1" applyFont="1" applyBorder="1" applyAlignment="1">
      <alignment vertical="center" wrapText="1"/>
    </xf>
    <xf numFmtId="0" fontId="3" fillId="0" borderId="64" xfId="0" applyFont="1" applyBorder="1" applyAlignment="1" applyProtection="1">
      <alignment horizontal="left" vertical="top" wrapText="1"/>
      <protection locked="0"/>
    </xf>
    <xf numFmtId="0" fontId="9" fillId="0" borderId="65" xfId="0" applyFont="1" applyBorder="1" applyAlignment="1" applyProtection="1">
      <alignment horizontal="left" vertical="top" wrapText="1"/>
      <protection locked="0"/>
    </xf>
    <xf numFmtId="0" fontId="33" fillId="31" borderId="0" xfId="0" applyFont="1" applyFill="1" applyAlignment="1">
      <alignment horizontal="center"/>
    </xf>
    <xf numFmtId="0" fontId="34" fillId="33" borderId="30" xfId="0" applyFont="1" applyFill="1" applyBorder="1" applyAlignment="1">
      <alignment horizontal="center" vertical="top" wrapText="1"/>
    </xf>
    <xf numFmtId="0" fontId="34" fillId="33" borderId="15" xfId="0" applyFont="1" applyFill="1" applyBorder="1" applyAlignment="1">
      <alignment horizontal="center" vertical="top" wrapText="1"/>
    </xf>
    <xf numFmtId="0" fontId="29" fillId="0" borderId="28" xfId="0" applyFont="1" applyBorder="1" applyAlignment="1">
      <alignment horizontal="left" vertical="center" wrapText="1"/>
    </xf>
    <xf numFmtId="0" fontId="29" fillId="0" borderId="0" xfId="0" applyFont="1" applyAlignment="1">
      <alignment horizontal="left" vertical="center" wrapText="1"/>
    </xf>
    <xf numFmtId="0" fontId="28" fillId="30" borderId="22" xfId="0" applyFont="1" applyFill="1" applyBorder="1" applyAlignment="1">
      <alignment horizontal="center" vertical="center" wrapText="1"/>
    </xf>
    <xf numFmtId="0" fontId="28" fillId="30" borderId="24" xfId="0" applyFont="1" applyFill="1" applyBorder="1" applyAlignment="1">
      <alignment horizontal="center" vertical="center" wrapText="1"/>
    </xf>
    <xf numFmtId="0" fontId="34" fillId="32" borderId="28" xfId="0" applyFont="1" applyFill="1" applyBorder="1" applyAlignment="1">
      <alignment horizontal="center" vertical="center" wrapText="1"/>
    </xf>
    <xf numFmtId="0" fontId="34" fillId="32" borderId="27" xfId="0" applyFont="1" applyFill="1" applyBorder="1" applyAlignment="1">
      <alignment horizontal="center" vertical="center" wrapText="1"/>
    </xf>
    <xf numFmtId="0" fontId="29" fillId="0" borderId="26" xfId="0" applyFont="1" applyBorder="1" applyAlignment="1">
      <alignment horizontal="left" vertical="center" wrapText="1"/>
    </xf>
    <xf numFmtId="0" fontId="29" fillId="0" borderId="7" xfId="0" applyFont="1" applyBorder="1" applyAlignment="1">
      <alignment horizontal="left" vertical="center" wrapText="1"/>
    </xf>
    <xf numFmtId="0" fontId="29" fillId="0" borderId="22" xfId="0" applyFont="1" applyBorder="1" applyAlignment="1">
      <alignment horizontal="left" vertical="center" wrapText="1"/>
    </xf>
    <xf numFmtId="0" fontId="35" fillId="36" borderId="58" xfId="0" applyFont="1" applyFill="1" applyBorder="1" applyAlignment="1">
      <alignment horizontal="left" vertical="top" wrapText="1"/>
    </xf>
    <xf numFmtId="0" fontId="35" fillId="36" borderId="59" xfId="0" applyFont="1" applyFill="1" applyBorder="1" applyAlignment="1">
      <alignment horizontal="left" vertical="top" wrapText="1"/>
    </xf>
    <xf numFmtId="0" fontId="35" fillId="36" borderId="60" xfId="0" applyFont="1" applyFill="1" applyBorder="1" applyAlignment="1">
      <alignment horizontal="left" vertical="top" wrapText="1"/>
    </xf>
    <xf numFmtId="0" fontId="35" fillId="36" borderId="14" xfId="0" applyFont="1" applyFill="1" applyBorder="1" applyAlignment="1">
      <alignment horizontal="left" vertical="top" wrapText="1"/>
    </xf>
    <xf numFmtId="0" fontId="15" fillId="0" borderId="26"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3" xfId="0" applyFont="1" applyBorder="1" applyAlignment="1">
      <alignment horizontal="center" vertical="center" wrapText="1"/>
    </xf>
    <xf numFmtId="0" fontId="32" fillId="36" borderId="51" xfId="0" applyFont="1" applyFill="1" applyBorder="1" applyAlignment="1">
      <alignment horizontal="right" vertical="center" wrapText="1"/>
    </xf>
    <xf numFmtId="0" fontId="32" fillId="36" borderId="52" xfId="0" applyFont="1" applyFill="1" applyBorder="1" applyAlignment="1">
      <alignment horizontal="right" vertical="center" wrapText="1"/>
    </xf>
    <xf numFmtId="0" fontId="32" fillId="36" borderId="53" xfId="0" applyFont="1" applyFill="1" applyBorder="1" applyAlignment="1">
      <alignment horizontal="right" vertical="center" wrapText="1"/>
    </xf>
    <xf numFmtId="0" fontId="32" fillId="36" borderId="54" xfId="0" applyFont="1" applyFill="1" applyBorder="1" applyAlignment="1">
      <alignment horizontal="right" vertical="center" wrapText="1"/>
    </xf>
    <xf numFmtId="0" fontId="35" fillId="36" borderId="55" xfId="0" applyFont="1" applyFill="1" applyBorder="1" applyAlignment="1">
      <alignment horizontal="left" vertical="top" wrapText="1"/>
    </xf>
    <xf numFmtId="0" fontId="35" fillId="36" borderId="56" xfId="0" applyFont="1" applyFill="1" applyBorder="1" applyAlignment="1">
      <alignment horizontal="left" vertical="top" wrapText="1"/>
    </xf>
    <xf numFmtId="0" fontId="35" fillId="36" borderId="16" xfId="0" applyFont="1" applyFill="1" applyBorder="1" applyAlignment="1">
      <alignment horizontal="left" vertical="top" wrapText="1"/>
    </xf>
    <xf numFmtId="0" fontId="35" fillId="36" borderId="31" xfId="0" applyFont="1" applyFill="1" applyBorder="1" applyAlignment="1">
      <alignment horizontal="left" vertical="top" wrapText="1"/>
    </xf>
    <xf numFmtId="0" fontId="31" fillId="0" borderId="57" xfId="0" applyFont="1" applyBorder="1" applyAlignment="1">
      <alignment horizontal="center" vertical="center" wrapText="1"/>
    </xf>
    <xf numFmtId="0" fontId="31" fillId="0" borderId="62" xfId="0" applyFont="1" applyBorder="1" applyAlignment="1">
      <alignment horizontal="center" vertical="center" wrapText="1"/>
    </xf>
    <xf numFmtId="0" fontId="29" fillId="28" borderId="43" xfId="0" applyFont="1" applyFill="1" applyBorder="1" applyAlignment="1">
      <alignment horizontal="center" vertical="center" textRotation="90"/>
    </xf>
    <xf numFmtId="0" fontId="29" fillId="28" borderId="44" xfId="0" applyFont="1" applyFill="1" applyBorder="1" applyAlignment="1">
      <alignment horizontal="center" vertical="center" textRotation="90"/>
    </xf>
    <xf numFmtId="0" fontId="29" fillId="28" borderId="45" xfId="0" applyFont="1" applyFill="1" applyBorder="1" applyAlignment="1">
      <alignment horizontal="center" vertical="center" textRotation="90"/>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35" fillId="0" borderId="12" xfId="0" applyFont="1" applyBorder="1" applyAlignment="1">
      <alignment horizontal="left" vertical="top" wrapText="1"/>
    </xf>
    <xf numFmtId="0" fontId="35" fillId="0" borderId="13" xfId="0" applyFont="1" applyBorder="1" applyAlignment="1">
      <alignment horizontal="left" vertical="top" wrapText="1"/>
    </xf>
    <xf numFmtId="0" fontId="31" fillId="0" borderId="10" xfId="0" applyFont="1" applyBorder="1" applyAlignment="1">
      <alignment horizontal="center"/>
    </xf>
    <xf numFmtId="0" fontId="31" fillId="0" borderId="11" xfId="0" applyFont="1" applyBorder="1" applyAlignment="1">
      <alignment horizontal="center"/>
    </xf>
    <xf numFmtId="0" fontId="29" fillId="0" borderId="27" xfId="0" applyFont="1" applyBorder="1" applyAlignment="1">
      <alignment horizontal="left" vertical="center" wrapText="1"/>
    </xf>
    <xf numFmtId="0" fontId="29" fillId="0" borderId="23" xfId="0" applyFont="1" applyBorder="1" applyAlignment="1">
      <alignment horizontal="left" vertical="center" wrapText="1"/>
    </xf>
    <xf numFmtId="0" fontId="15" fillId="0" borderId="26" xfId="0" applyFont="1" applyBorder="1" applyAlignment="1">
      <alignment horizontal="center" vertical="center"/>
    </xf>
    <xf numFmtId="0" fontId="15" fillId="0" borderId="28" xfId="0" applyFont="1" applyBorder="1" applyAlignment="1">
      <alignment horizontal="center" vertical="center"/>
    </xf>
    <xf numFmtId="0" fontId="15" fillId="0" borderId="27" xfId="0" applyFont="1" applyBorder="1" applyAlignment="1">
      <alignment horizontal="center" vertical="center"/>
    </xf>
    <xf numFmtId="0" fontId="30" fillId="37" borderId="18" xfId="0" applyFont="1" applyFill="1" applyBorder="1" applyAlignment="1">
      <alignment horizontal="center" vertical="center"/>
    </xf>
    <xf numFmtId="0" fontId="30" fillId="37" borderId="20" xfId="0" applyFont="1" applyFill="1" applyBorder="1" applyAlignment="1">
      <alignment horizontal="center" vertical="center"/>
    </xf>
    <xf numFmtId="0" fontId="28" fillId="37" borderId="18" xfId="0" applyFont="1" applyFill="1" applyBorder="1" applyAlignment="1">
      <alignment horizontal="center" vertical="center"/>
    </xf>
    <xf numFmtId="0" fontId="28" fillId="37" borderId="19" xfId="0" applyFont="1" applyFill="1" applyBorder="1" applyAlignment="1">
      <alignment horizontal="center" vertical="center"/>
    </xf>
    <xf numFmtId="0" fontId="29" fillId="0" borderId="18" xfId="0" applyFont="1" applyBorder="1" applyAlignment="1">
      <alignment horizontal="left" vertical="top" wrapText="1"/>
    </xf>
    <xf numFmtId="0" fontId="29" fillId="0" borderId="20" xfId="0" applyFont="1" applyBorder="1" applyAlignment="1">
      <alignment horizontal="left" vertical="top" wrapText="1"/>
    </xf>
    <xf numFmtId="0" fontId="34" fillId="32" borderId="26" xfId="0" applyFont="1" applyFill="1" applyBorder="1" applyAlignment="1">
      <alignment horizontal="center" vertical="center"/>
    </xf>
    <xf numFmtId="0" fontId="34" fillId="32" borderId="27" xfId="0" applyFont="1" applyFill="1" applyBorder="1" applyAlignment="1">
      <alignment horizontal="center" vertical="center"/>
    </xf>
    <xf numFmtId="0" fontId="14" fillId="0" borderId="22" xfId="0" applyFont="1" applyBorder="1" applyAlignment="1">
      <alignment horizontal="left" vertical="top" wrapText="1"/>
    </xf>
    <xf numFmtId="0" fontId="14" fillId="0" borderId="23" xfId="0" applyFont="1" applyBorder="1" applyAlignment="1">
      <alignment horizontal="left" vertical="top" wrapText="1"/>
    </xf>
    <xf numFmtId="0" fontId="17" fillId="5" borderId="2" xfId="1" applyFont="1" applyFill="1" applyBorder="1" applyAlignment="1">
      <alignment horizontal="center" vertical="center"/>
    </xf>
    <xf numFmtId="0" fontId="17" fillId="5" borderId="3" xfId="1" applyFont="1" applyFill="1" applyBorder="1" applyAlignment="1">
      <alignment horizontal="center" vertical="center"/>
    </xf>
    <xf numFmtId="0" fontId="17" fillId="5" borderId="4" xfId="1" applyFont="1" applyFill="1" applyBorder="1" applyAlignment="1">
      <alignment horizontal="center" vertical="center"/>
    </xf>
    <xf numFmtId="0" fontId="20" fillId="5" borderId="2" xfId="1" applyFont="1" applyFill="1" applyBorder="1" applyAlignment="1">
      <alignment horizontal="left" vertical="center"/>
    </xf>
    <xf numFmtId="0" fontId="20" fillId="5" borderId="3" xfId="1" applyFont="1" applyFill="1" applyBorder="1" applyAlignment="1">
      <alignment horizontal="left" vertical="center"/>
    </xf>
    <xf numFmtId="0" fontId="20" fillId="5" borderId="4" xfId="1" applyFont="1" applyFill="1" applyBorder="1" applyAlignment="1">
      <alignment horizontal="left" vertical="center"/>
    </xf>
    <xf numFmtId="0" fontId="19" fillId="3" borderId="3" xfId="1" applyFont="1" applyFill="1" applyBorder="1" applyAlignment="1">
      <alignment horizontal="left" vertical="top" wrapText="1"/>
    </xf>
    <xf numFmtId="0" fontId="19" fillId="3" borderId="4" xfId="1" applyFont="1" applyFill="1" applyBorder="1" applyAlignment="1">
      <alignment horizontal="left" vertical="top" wrapText="1"/>
    </xf>
    <xf numFmtId="0" fontId="17" fillId="6" borderId="2" xfId="1" applyFont="1" applyFill="1" applyBorder="1" applyAlignment="1">
      <alignment horizontal="center" vertical="center"/>
    </xf>
    <xf numFmtId="0" fontId="17" fillId="6" borderId="3" xfId="1" applyFont="1" applyFill="1" applyBorder="1" applyAlignment="1">
      <alignment horizontal="center" vertical="center"/>
    </xf>
    <xf numFmtId="0" fontId="17" fillId="6" borderId="4" xfId="1" applyFont="1" applyFill="1" applyBorder="1" applyAlignment="1">
      <alignment horizontal="center" vertical="center"/>
    </xf>
    <xf numFmtId="0" fontId="20" fillId="6" borderId="2" xfId="1" applyFont="1" applyFill="1" applyBorder="1" applyAlignment="1">
      <alignment horizontal="left" vertical="center"/>
    </xf>
    <xf numFmtId="0" fontId="20" fillId="6" borderId="3" xfId="1" applyFont="1" applyFill="1" applyBorder="1" applyAlignment="1">
      <alignment horizontal="left" vertical="center"/>
    </xf>
    <xf numFmtId="0" fontId="20" fillId="6" borderId="4" xfId="1" applyFont="1" applyFill="1" applyBorder="1" applyAlignment="1">
      <alignment horizontal="left" vertical="center"/>
    </xf>
    <xf numFmtId="0" fontId="17" fillId="4" borderId="2" xfId="1" applyFont="1" applyFill="1" applyBorder="1" applyAlignment="1">
      <alignment horizontal="center" vertical="center" wrapText="1"/>
    </xf>
    <xf numFmtId="0" fontId="17" fillId="4" borderId="3" xfId="1" applyFont="1" applyFill="1" applyBorder="1" applyAlignment="1">
      <alignment horizontal="center" vertical="center" wrapText="1"/>
    </xf>
    <xf numFmtId="0" fontId="17" fillId="4" borderId="4" xfId="1" applyFont="1" applyFill="1" applyBorder="1" applyAlignment="1">
      <alignment horizontal="center" vertical="center" wrapText="1"/>
    </xf>
    <xf numFmtId="0" fontId="20" fillId="4" borderId="2" xfId="1" applyFont="1" applyFill="1" applyBorder="1" applyAlignment="1">
      <alignment horizontal="left" vertical="center" wrapText="1"/>
    </xf>
    <xf numFmtId="0" fontId="20" fillId="4" borderId="3" xfId="1" applyFont="1" applyFill="1" applyBorder="1" applyAlignment="1">
      <alignment horizontal="left" vertical="center" wrapText="1"/>
    </xf>
    <xf numFmtId="0" fontId="20" fillId="4" borderId="4" xfId="1" applyFont="1" applyFill="1" applyBorder="1" applyAlignment="1">
      <alignment horizontal="left" vertical="center" wrapText="1"/>
    </xf>
    <xf numFmtId="0" fontId="20" fillId="6" borderId="2" xfId="1" applyFont="1" applyFill="1" applyBorder="1" applyAlignment="1">
      <alignment horizontal="left" vertical="center" wrapText="1"/>
    </xf>
    <xf numFmtId="0" fontId="20" fillId="6" borderId="3" xfId="1" applyFont="1" applyFill="1" applyBorder="1" applyAlignment="1">
      <alignment horizontal="left" vertical="center" wrapText="1"/>
    </xf>
    <xf numFmtId="0" fontId="20" fillId="6" borderId="4" xfId="1" applyFont="1" applyFill="1" applyBorder="1" applyAlignment="1">
      <alignment horizontal="left" vertical="center" wrapText="1"/>
    </xf>
    <xf numFmtId="0" fontId="17" fillId="6" borderId="2" xfId="1" applyFont="1" applyFill="1" applyBorder="1" applyAlignment="1">
      <alignment horizontal="center" vertical="center" wrapText="1"/>
    </xf>
    <xf numFmtId="0" fontId="17" fillId="6" borderId="3" xfId="1" applyFont="1" applyFill="1" applyBorder="1" applyAlignment="1">
      <alignment horizontal="center" vertical="center" wrapText="1"/>
    </xf>
    <xf numFmtId="0" fontId="17" fillId="6" borderId="4" xfId="1" applyFont="1" applyFill="1" applyBorder="1" applyAlignment="1">
      <alignment horizontal="center" vertical="center" wrapText="1"/>
    </xf>
    <xf numFmtId="0" fontId="17" fillId="7" borderId="5" xfId="1" applyFont="1" applyFill="1" applyBorder="1" applyAlignment="1">
      <alignment horizontal="left" wrapText="1"/>
    </xf>
    <xf numFmtId="0" fontId="17" fillId="7" borderId="6" xfId="1" applyFont="1" applyFill="1" applyBorder="1" applyAlignment="1">
      <alignment horizontal="left" wrapText="1"/>
    </xf>
    <xf numFmtId="0" fontId="17" fillId="14" borderId="2" xfId="1" applyFont="1" applyFill="1" applyBorder="1" applyAlignment="1">
      <alignment horizontal="center" vertical="center"/>
    </xf>
    <xf numFmtId="0" fontId="17" fillId="14" borderId="3" xfId="1" applyFont="1" applyFill="1" applyBorder="1" applyAlignment="1">
      <alignment horizontal="center" vertical="center"/>
    </xf>
    <xf numFmtId="0" fontId="17" fillId="14" borderId="4" xfId="1" applyFont="1" applyFill="1" applyBorder="1" applyAlignment="1">
      <alignment horizontal="center" vertical="center"/>
    </xf>
    <xf numFmtId="0" fontId="17" fillId="20" borderId="2" xfId="1" applyFont="1" applyFill="1" applyBorder="1" applyAlignment="1">
      <alignment horizontal="center" vertical="center"/>
    </xf>
    <xf numFmtId="0" fontId="17" fillId="20" borderId="3" xfId="1" applyFont="1" applyFill="1" applyBorder="1" applyAlignment="1">
      <alignment horizontal="center" vertical="center"/>
    </xf>
    <xf numFmtId="0" fontId="17" fillId="20" borderId="4" xfId="1" applyFont="1" applyFill="1" applyBorder="1" applyAlignment="1">
      <alignment horizontal="center" vertical="center"/>
    </xf>
    <xf numFmtId="0" fontId="20" fillId="20" borderId="2" xfId="1" applyFont="1" applyFill="1" applyBorder="1" applyAlignment="1">
      <alignment horizontal="left" vertical="center" wrapText="1"/>
    </xf>
    <xf numFmtId="0" fontId="20" fillId="20" borderId="3" xfId="1" applyFont="1" applyFill="1" applyBorder="1" applyAlignment="1">
      <alignment horizontal="left" vertical="center" wrapText="1"/>
    </xf>
    <xf numFmtId="0" fontId="20" fillId="20" borderId="4" xfId="1" applyFont="1" applyFill="1" applyBorder="1" applyAlignment="1">
      <alignment horizontal="left" vertical="center" wrapText="1"/>
    </xf>
    <xf numFmtId="0" fontId="17" fillId="23" borderId="2" xfId="1" applyFont="1" applyFill="1" applyBorder="1" applyAlignment="1">
      <alignment horizontal="center" vertical="center"/>
    </xf>
    <xf numFmtId="0" fontId="17" fillId="23" borderId="3" xfId="1" applyFont="1" applyFill="1" applyBorder="1" applyAlignment="1">
      <alignment horizontal="center" vertical="center"/>
    </xf>
    <xf numFmtId="0" fontId="17" fillId="23" borderId="4" xfId="1" applyFont="1" applyFill="1" applyBorder="1" applyAlignment="1">
      <alignment horizontal="center" vertical="center"/>
    </xf>
    <xf numFmtId="0" fontId="17" fillId="24" borderId="2" xfId="1" applyFont="1" applyFill="1" applyBorder="1" applyAlignment="1">
      <alignment horizontal="center" vertical="center"/>
    </xf>
    <xf numFmtId="0" fontId="17" fillId="24" borderId="3" xfId="1" applyFont="1" applyFill="1" applyBorder="1" applyAlignment="1">
      <alignment horizontal="center" vertical="center"/>
    </xf>
    <xf numFmtId="0" fontId="17" fillId="24" borderId="4" xfId="1" applyFont="1" applyFill="1" applyBorder="1" applyAlignment="1">
      <alignment horizontal="center" vertical="center"/>
    </xf>
    <xf numFmtId="0" fontId="20" fillId="24" borderId="2" xfId="1" applyFont="1" applyFill="1" applyBorder="1" applyAlignment="1">
      <alignment horizontal="left" vertical="center"/>
    </xf>
    <xf numFmtId="0" fontId="20" fillId="24" borderId="3" xfId="1" applyFont="1" applyFill="1" applyBorder="1" applyAlignment="1">
      <alignment horizontal="left" vertical="center"/>
    </xf>
    <xf numFmtId="0" fontId="20" fillId="24" borderId="4" xfId="1" applyFont="1" applyFill="1" applyBorder="1" applyAlignment="1">
      <alignment horizontal="left" vertical="center"/>
    </xf>
    <xf numFmtId="0" fontId="20" fillId="20" borderId="2" xfId="1" applyFont="1" applyFill="1" applyBorder="1" applyAlignment="1">
      <alignment horizontal="left" vertical="center"/>
    </xf>
    <xf numFmtId="0" fontId="20" fillId="20" borderId="3" xfId="1" applyFont="1" applyFill="1" applyBorder="1" applyAlignment="1">
      <alignment horizontal="left" vertical="center"/>
    </xf>
    <xf numFmtId="0" fontId="20" fillId="20" borderId="4" xfId="1" applyFont="1" applyFill="1" applyBorder="1" applyAlignment="1">
      <alignment horizontal="left" vertical="center"/>
    </xf>
    <xf numFmtId="0" fontId="17" fillId="14" borderId="2" xfId="1" applyFont="1" applyFill="1" applyBorder="1" applyAlignment="1">
      <alignment horizontal="center" vertical="center" wrapText="1"/>
    </xf>
    <xf numFmtId="0" fontId="17" fillId="14" borderId="3" xfId="1" applyFont="1" applyFill="1" applyBorder="1" applyAlignment="1">
      <alignment horizontal="center" vertical="center" wrapText="1"/>
    </xf>
    <xf numFmtId="0" fontId="17" fillId="14" borderId="4" xfId="1" applyFont="1" applyFill="1" applyBorder="1" applyAlignment="1">
      <alignment horizontal="center" vertical="center" wrapText="1"/>
    </xf>
    <xf numFmtId="0" fontId="20" fillId="14" borderId="2" xfId="1" applyFont="1" applyFill="1" applyBorder="1" applyAlignment="1">
      <alignment horizontal="left" vertical="center" wrapText="1"/>
    </xf>
    <xf numFmtId="0" fontId="20" fillId="14" borderId="3" xfId="1" applyFont="1" applyFill="1" applyBorder="1" applyAlignment="1">
      <alignment horizontal="left" vertical="center" wrapText="1"/>
    </xf>
    <xf numFmtId="0" fontId="20" fillId="14" borderId="4" xfId="1" applyFont="1" applyFill="1" applyBorder="1" applyAlignment="1">
      <alignment horizontal="left" vertical="center" wrapText="1"/>
    </xf>
    <xf numFmtId="0" fontId="17" fillId="13" borderId="2" xfId="1" applyFont="1" applyFill="1" applyBorder="1" applyAlignment="1">
      <alignment horizontal="center" vertical="center" wrapText="1"/>
    </xf>
    <xf numFmtId="0" fontId="17" fillId="13" borderId="3" xfId="1" applyFont="1" applyFill="1" applyBorder="1" applyAlignment="1">
      <alignment horizontal="center" vertical="center" wrapText="1"/>
    </xf>
    <xf numFmtId="0" fontId="17" fillId="13" borderId="4" xfId="1" applyFont="1" applyFill="1" applyBorder="1" applyAlignment="1">
      <alignment horizontal="center" vertical="center" wrapText="1"/>
    </xf>
    <xf numFmtId="0" fontId="20" fillId="13" borderId="2" xfId="1" applyFont="1" applyFill="1" applyBorder="1" applyAlignment="1">
      <alignment horizontal="left" vertical="center" wrapText="1"/>
    </xf>
    <xf numFmtId="0" fontId="20" fillId="13" borderId="3" xfId="1" applyFont="1" applyFill="1" applyBorder="1" applyAlignment="1">
      <alignment horizontal="left" vertical="center" wrapText="1"/>
    </xf>
    <xf numFmtId="0" fontId="20" fillId="13" borderId="4" xfId="1" applyFont="1" applyFill="1" applyBorder="1" applyAlignment="1">
      <alignment horizontal="left" vertical="center" wrapText="1"/>
    </xf>
    <xf numFmtId="0" fontId="17" fillId="23" borderId="2" xfId="1" applyFont="1" applyFill="1" applyBorder="1" applyAlignment="1">
      <alignment horizontal="center" vertical="center" wrapText="1"/>
    </xf>
    <xf numFmtId="0" fontId="17" fillId="23" borderId="3" xfId="1" applyFont="1" applyFill="1" applyBorder="1" applyAlignment="1">
      <alignment horizontal="center" vertical="center" wrapText="1"/>
    </xf>
    <xf numFmtId="0" fontId="17" fillId="23" borderId="4" xfId="1" applyFont="1" applyFill="1" applyBorder="1" applyAlignment="1">
      <alignment horizontal="center" vertical="center" wrapText="1"/>
    </xf>
    <xf numFmtId="0" fontId="20" fillId="23" borderId="2" xfId="1" applyFont="1" applyFill="1" applyBorder="1" applyAlignment="1">
      <alignment horizontal="left" vertical="center"/>
    </xf>
    <xf numFmtId="0" fontId="20" fillId="23" borderId="3" xfId="1" applyFont="1" applyFill="1" applyBorder="1" applyAlignment="1">
      <alignment horizontal="left" vertical="center"/>
    </xf>
    <xf numFmtId="0" fontId="20" fillId="23" borderId="4" xfId="1" applyFont="1" applyFill="1" applyBorder="1" applyAlignment="1">
      <alignment horizontal="left" vertical="center"/>
    </xf>
    <xf numFmtId="0" fontId="17" fillId="24" borderId="2" xfId="1" applyFont="1" applyFill="1" applyBorder="1" applyAlignment="1">
      <alignment horizontal="center" vertical="center" wrapText="1"/>
    </xf>
    <xf numFmtId="0" fontId="17" fillId="24" borderId="3" xfId="1" applyFont="1" applyFill="1" applyBorder="1" applyAlignment="1">
      <alignment horizontal="center" vertical="center" wrapText="1"/>
    </xf>
    <xf numFmtId="0" fontId="17" fillId="24" borderId="4" xfId="1" applyFont="1" applyFill="1" applyBorder="1" applyAlignment="1">
      <alignment horizontal="center" vertical="center" wrapText="1"/>
    </xf>
    <xf numFmtId="0" fontId="17" fillId="26" borderId="2" xfId="1" applyFont="1" applyFill="1" applyBorder="1" applyAlignment="1">
      <alignment horizontal="center" vertical="center" wrapText="1"/>
    </xf>
    <xf numFmtId="0" fontId="17" fillId="26" borderId="3" xfId="1" applyFont="1" applyFill="1" applyBorder="1" applyAlignment="1">
      <alignment horizontal="center" vertical="center" wrapText="1"/>
    </xf>
    <xf numFmtId="0" fontId="17" fillId="26" borderId="4" xfId="1" applyFont="1" applyFill="1" applyBorder="1" applyAlignment="1">
      <alignment horizontal="center" vertical="center" wrapText="1"/>
    </xf>
    <xf numFmtId="0" fontId="20" fillId="26" borderId="2" xfId="1" applyFont="1" applyFill="1" applyBorder="1" applyAlignment="1">
      <alignment horizontal="left" vertical="center"/>
    </xf>
    <xf numFmtId="0" fontId="20" fillId="26" borderId="3" xfId="1" applyFont="1" applyFill="1" applyBorder="1" applyAlignment="1">
      <alignment horizontal="left" vertical="center"/>
    </xf>
    <xf numFmtId="0" fontId="20" fillId="26" borderId="4" xfId="1" applyFont="1" applyFill="1" applyBorder="1" applyAlignment="1">
      <alignment horizontal="left" vertical="center"/>
    </xf>
    <xf numFmtId="0" fontId="17" fillId="8" borderId="2" xfId="1" applyFont="1" applyFill="1" applyBorder="1" applyAlignment="1">
      <alignment horizontal="left" vertical="top" wrapText="1"/>
    </xf>
    <xf numFmtId="0" fontId="19" fillId="8" borderId="3" xfId="1" applyFont="1" applyFill="1" applyBorder="1" applyAlignment="1">
      <alignment horizontal="left" vertical="top" wrapText="1"/>
    </xf>
    <xf numFmtId="0" fontId="19" fillId="8" borderId="4" xfId="1" applyFont="1" applyFill="1" applyBorder="1" applyAlignment="1">
      <alignment horizontal="left" vertical="top" wrapText="1"/>
    </xf>
    <xf numFmtId="0" fontId="17" fillId="11" borderId="2" xfId="1" applyFont="1" applyFill="1" applyBorder="1" applyAlignment="1">
      <alignment horizontal="left" vertical="top" wrapText="1"/>
    </xf>
    <xf numFmtId="0" fontId="19" fillId="11" borderId="3" xfId="1" applyFont="1" applyFill="1" applyBorder="1" applyAlignment="1">
      <alignment horizontal="left" vertical="top" wrapText="1"/>
    </xf>
    <xf numFmtId="0" fontId="17" fillId="9" borderId="2" xfId="1" applyFont="1" applyFill="1" applyBorder="1" applyAlignment="1">
      <alignment horizontal="center" vertical="center" wrapText="1"/>
    </xf>
    <xf numFmtId="0" fontId="17" fillId="9" borderId="3" xfId="1" applyFont="1" applyFill="1" applyBorder="1" applyAlignment="1">
      <alignment horizontal="center" vertical="center" wrapText="1"/>
    </xf>
    <xf numFmtId="0" fontId="17" fillId="9" borderId="4" xfId="1" applyFont="1" applyFill="1" applyBorder="1" applyAlignment="1">
      <alignment horizontal="center" vertical="center" wrapText="1"/>
    </xf>
    <xf numFmtId="0" fontId="20" fillId="9" borderId="2" xfId="1" applyFont="1" applyFill="1" applyBorder="1" applyAlignment="1">
      <alignment horizontal="left" vertical="center" wrapText="1"/>
    </xf>
    <xf numFmtId="0" fontId="20" fillId="9" borderId="3" xfId="1" applyFont="1" applyFill="1" applyBorder="1" applyAlignment="1">
      <alignment horizontal="left" vertical="center" wrapText="1"/>
    </xf>
    <xf numFmtId="0" fontId="20" fillId="9" borderId="4" xfId="1" applyFont="1" applyFill="1" applyBorder="1" applyAlignment="1">
      <alignment horizontal="left" vertical="center" wrapText="1"/>
    </xf>
    <xf numFmtId="0" fontId="17" fillId="10" borderId="2" xfId="1" applyFont="1" applyFill="1" applyBorder="1" applyAlignment="1">
      <alignment horizontal="center" vertical="center" wrapText="1"/>
    </xf>
    <xf numFmtId="0" fontId="17" fillId="10" borderId="3" xfId="1" applyFont="1" applyFill="1" applyBorder="1" applyAlignment="1">
      <alignment horizontal="center" vertical="center" wrapText="1"/>
    </xf>
    <xf numFmtId="0" fontId="17" fillId="10" borderId="4" xfId="1" applyFont="1" applyFill="1" applyBorder="1" applyAlignment="1">
      <alignment horizontal="center" vertical="center" wrapText="1"/>
    </xf>
    <xf numFmtId="0" fontId="20" fillId="10" borderId="2" xfId="1" applyFont="1" applyFill="1" applyBorder="1" applyAlignment="1">
      <alignment horizontal="left" vertical="center" wrapText="1"/>
    </xf>
    <xf numFmtId="0" fontId="20" fillId="10" borderId="3" xfId="1" applyFont="1" applyFill="1" applyBorder="1" applyAlignment="1">
      <alignment horizontal="left" vertical="center" wrapText="1"/>
    </xf>
    <xf numFmtId="0" fontId="20" fillId="10" borderId="4" xfId="1" applyFont="1" applyFill="1" applyBorder="1" applyAlignment="1">
      <alignment horizontal="left" vertical="center" wrapText="1"/>
    </xf>
    <xf numFmtId="0" fontId="17" fillId="27" borderId="2" xfId="1" applyFont="1" applyFill="1" applyBorder="1" applyAlignment="1">
      <alignment horizontal="center" vertical="center" wrapText="1"/>
    </xf>
    <xf numFmtId="0" fontId="17" fillId="27" borderId="3" xfId="1" applyFont="1" applyFill="1" applyBorder="1" applyAlignment="1">
      <alignment horizontal="center" vertical="center" wrapText="1"/>
    </xf>
    <xf numFmtId="0" fontId="17" fillId="27" borderId="4" xfId="1" applyFont="1" applyFill="1" applyBorder="1" applyAlignment="1">
      <alignment horizontal="center" vertical="center" wrapText="1"/>
    </xf>
    <xf numFmtId="0" fontId="20" fillId="27" borderId="2" xfId="1" applyFont="1" applyFill="1" applyBorder="1" applyAlignment="1">
      <alignment horizontal="left" vertical="center" wrapText="1"/>
    </xf>
    <xf numFmtId="0" fontId="20" fillId="27" borderId="3" xfId="1" applyFont="1" applyFill="1" applyBorder="1" applyAlignment="1">
      <alignment horizontal="left" vertical="center" wrapText="1"/>
    </xf>
    <xf numFmtId="0" fontId="20" fillId="27" borderId="4" xfId="1" applyFont="1" applyFill="1" applyBorder="1" applyAlignment="1">
      <alignment horizontal="left" vertical="center" wrapText="1"/>
    </xf>
    <xf numFmtId="0" fontId="17" fillId="12" borderId="2" xfId="1" applyFont="1" applyFill="1" applyBorder="1" applyAlignment="1">
      <alignment horizontal="center" vertical="center" wrapText="1"/>
    </xf>
    <xf numFmtId="0" fontId="17" fillId="12" borderId="3" xfId="1" applyFont="1" applyFill="1" applyBorder="1" applyAlignment="1">
      <alignment horizontal="center" vertical="center" wrapText="1"/>
    </xf>
    <xf numFmtId="0" fontId="17" fillId="12" borderId="4" xfId="1" applyFont="1" applyFill="1" applyBorder="1" applyAlignment="1">
      <alignment horizontal="center" vertical="center" wrapText="1"/>
    </xf>
    <xf numFmtId="0" fontId="20" fillId="12" borderId="2" xfId="1" applyFont="1" applyFill="1" applyBorder="1" applyAlignment="1">
      <alignment horizontal="left" vertical="center" wrapText="1"/>
    </xf>
    <xf numFmtId="0" fontId="20" fillId="12" borderId="3" xfId="1" applyFont="1" applyFill="1" applyBorder="1" applyAlignment="1">
      <alignment horizontal="left" vertical="center" wrapText="1"/>
    </xf>
    <xf numFmtId="0" fontId="20" fillId="12" borderId="4" xfId="1" applyFont="1" applyFill="1" applyBorder="1" applyAlignment="1">
      <alignment horizontal="left" vertical="center" wrapText="1"/>
    </xf>
    <xf numFmtId="0" fontId="19" fillId="11" borderId="3" xfId="1" applyFont="1" applyFill="1" applyBorder="1" applyAlignment="1">
      <alignment vertical="top" wrapText="1"/>
    </xf>
    <xf numFmtId="0" fontId="24" fillId="11" borderId="3" xfId="1" applyFont="1" applyFill="1" applyBorder="1" applyAlignment="1">
      <alignment vertical="top" wrapText="1"/>
    </xf>
    <xf numFmtId="0" fontId="24" fillId="11" borderId="4" xfId="1" applyFont="1" applyFill="1" applyBorder="1" applyAlignment="1">
      <alignment vertical="top" wrapText="1"/>
    </xf>
    <xf numFmtId="0" fontId="20" fillId="2" borderId="2" xfId="1" applyFont="1" applyFill="1" applyBorder="1" applyAlignment="1">
      <alignment horizontal="left" vertical="center" wrapText="1"/>
    </xf>
    <xf numFmtId="0" fontId="20" fillId="2" borderId="3" xfId="1" applyFont="1" applyFill="1" applyBorder="1" applyAlignment="1">
      <alignment horizontal="left" vertical="center" wrapText="1"/>
    </xf>
    <xf numFmtId="0" fontId="20" fillId="2" borderId="4" xfId="1" applyFont="1" applyFill="1" applyBorder="1" applyAlignment="1">
      <alignment horizontal="left" vertical="center" wrapText="1"/>
    </xf>
    <xf numFmtId="0" fontId="20" fillId="19" borderId="2" xfId="1" applyFont="1" applyFill="1" applyBorder="1" applyAlignment="1">
      <alignment horizontal="left" vertical="center"/>
    </xf>
    <xf numFmtId="0" fontId="20" fillId="19" borderId="3" xfId="1" applyFont="1" applyFill="1" applyBorder="1" applyAlignment="1">
      <alignment horizontal="left" vertical="center"/>
    </xf>
    <xf numFmtId="0" fontId="20" fillId="19" borderId="4" xfId="1" applyFont="1" applyFill="1" applyBorder="1" applyAlignment="1">
      <alignment horizontal="left" vertical="center"/>
    </xf>
    <xf numFmtId="0" fontId="17" fillId="20" borderId="2" xfId="1" applyFont="1" applyFill="1" applyBorder="1" applyAlignment="1">
      <alignment horizontal="center" vertical="center" wrapText="1"/>
    </xf>
    <xf numFmtId="0" fontId="17" fillId="20" borderId="3" xfId="1" applyFont="1" applyFill="1" applyBorder="1" applyAlignment="1">
      <alignment horizontal="center" vertical="center" wrapText="1"/>
    </xf>
    <xf numFmtId="0" fontId="17" fillId="20" borderId="4" xfId="1" applyFont="1" applyFill="1" applyBorder="1" applyAlignment="1">
      <alignment horizontal="center" vertical="center" wrapText="1"/>
    </xf>
    <xf numFmtId="0" fontId="20" fillId="14" borderId="2" xfId="1" applyFont="1" applyFill="1" applyBorder="1" applyAlignment="1">
      <alignment horizontal="left" vertical="center"/>
    </xf>
    <xf numFmtId="0" fontId="20" fillId="14" borderId="3" xfId="1" applyFont="1" applyFill="1" applyBorder="1" applyAlignment="1">
      <alignment horizontal="left" vertical="center"/>
    </xf>
    <xf numFmtId="0" fontId="20" fillId="14" borderId="4" xfId="1" applyFont="1" applyFill="1" applyBorder="1" applyAlignment="1">
      <alignment horizontal="left" vertical="center"/>
    </xf>
    <xf numFmtId="0" fontId="17" fillId="17" borderId="2" xfId="1" applyFont="1" applyFill="1" applyBorder="1" applyAlignment="1">
      <alignment horizontal="left" vertical="top" wrapText="1"/>
    </xf>
    <xf numFmtId="0" fontId="19" fillId="17" borderId="3" xfId="1" applyFont="1" applyFill="1" applyBorder="1" applyAlignment="1">
      <alignment horizontal="left" vertical="top" wrapText="1"/>
    </xf>
    <xf numFmtId="0" fontId="19" fillId="17" borderId="4" xfId="1" applyFont="1" applyFill="1" applyBorder="1" applyAlignment="1">
      <alignment horizontal="left" vertical="top" wrapText="1"/>
    </xf>
    <xf numFmtId="0" fontId="20" fillId="16" borderId="2" xfId="1" applyFont="1" applyFill="1" applyBorder="1" applyAlignment="1">
      <alignment horizontal="left" vertical="center" wrapText="1"/>
    </xf>
    <xf numFmtId="0" fontId="20" fillId="16" borderId="3" xfId="1" applyFont="1" applyFill="1" applyBorder="1" applyAlignment="1">
      <alignment horizontal="left" vertical="center" wrapText="1"/>
    </xf>
    <xf numFmtId="0" fontId="20" fillId="16" borderId="4" xfId="1" applyFont="1" applyFill="1" applyBorder="1" applyAlignment="1">
      <alignment horizontal="left" vertical="center" wrapText="1"/>
    </xf>
    <xf numFmtId="0" fontId="19" fillId="15" borderId="3" xfId="1" applyFont="1" applyFill="1" applyBorder="1" applyAlignment="1">
      <alignment horizontal="left" vertical="top" wrapText="1"/>
    </xf>
    <xf numFmtId="0" fontId="17" fillId="25" borderId="2" xfId="1" applyFont="1" applyFill="1" applyBorder="1" applyAlignment="1">
      <alignment horizontal="center" vertical="center"/>
    </xf>
    <xf numFmtId="0" fontId="17" fillId="25" borderId="3" xfId="1" applyFont="1" applyFill="1" applyBorder="1" applyAlignment="1">
      <alignment horizontal="center" vertical="center"/>
    </xf>
    <xf numFmtId="0" fontId="17" fillId="25" borderId="4" xfId="1" applyFont="1" applyFill="1" applyBorder="1" applyAlignment="1">
      <alignment horizontal="center" vertical="center"/>
    </xf>
    <xf numFmtId="0" fontId="17" fillId="2" borderId="2" xfId="1" applyFont="1" applyFill="1" applyBorder="1" applyAlignment="1">
      <alignment horizontal="center" vertical="center" wrapText="1"/>
    </xf>
    <xf numFmtId="0" fontId="17" fillId="2" borderId="3" xfId="1" applyFont="1" applyFill="1" applyBorder="1" applyAlignment="1">
      <alignment horizontal="center" vertical="center" wrapText="1"/>
    </xf>
    <xf numFmtId="0" fontId="17" fillId="2" borderId="4" xfId="1" applyFont="1" applyFill="1" applyBorder="1" applyAlignment="1">
      <alignment horizontal="center" vertical="center" wrapText="1"/>
    </xf>
    <xf numFmtId="0" fontId="19" fillId="15" borderId="4" xfId="1" applyFont="1" applyFill="1" applyBorder="1" applyAlignment="1">
      <alignment horizontal="left" vertical="top" wrapText="1"/>
    </xf>
    <xf numFmtId="0" fontId="17" fillId="3" borderId="2" xfId="1" applyFont="1" applyFill="1" applyBorder="1" applyAlignment="1">
      <alignment horizontal="left" vertical="top" wrapText="1"/>
    </xf>
    <xf numFmtId="0" fontId="17" fillId="25" borderId="2" xfId="1" applyFont="1" applyFill="1" applyBorder="1" applyAlignment="1">
      <alignment horizontal="center" vertical="center" wrapText="1"/>
    </xf>
    <xf numFmtId="0" fontId="17" fillId="25" borderId="3" xfId="1" applyFont="1" applyFill="1" applyBorder="1" applyAlignment="1">
      <alignment horizontal="center" vertical="center" wrapText="1"/>
    </xf>
    <xf numFmtId="0" fontId="17" fillId="25" borderId="4" xfId="1" applyFont="1" applyFill="1" applyBorder="1" applyAlignment="1">
      <alignment horizontal="center" vertical="center" wrapText="1"/>
    </xf>
    <xf numFmtId="0" fontId="20" fillId="25" borderId="2" xfId="1" applyFont="1" applyFill="1" applyBorder="1" applyAlignment="1">
      <alignment horizontal="left" vertical="center"/>
    </xf>
    <xf numFmtId="0" fontId="20" fillId="25" borderId="3" xfId="1" applyFont="1" applyFill="1" applyBorder="1" applyAlignment="1">
      <alignment horizontal="left" vertical="center"/>
    </xf>
    <xf numFmtId="0" fontId="20" fillId="25" borderId="4" xfId="1" applyFont="1" applyFill="1" applyBorder="1" applyAlignment="1">
      <alignment horizontal="left" vertical="center"/>
    </xf>
    <xf numFmtId="0" fontId="17" fillId="21" borderId="2" xfId="1" applyFont="1" applyFill="1" applyBorder="1" applyAlignment="1">
      <alignment horizontal="left" vertical="top" wrapText="1"/>
    </xf>
    <xf numFmtId="0" fontId="19" fillId="21" borderId="3" xfId="1" applyFont="1" applyFill="1" applyBorder="1" applyAlignment="1">
      <alignment horizontal="left" vertical="top" wrapText="1"/>
    </xf>
    <xf numFmtId="0" fontId="19" fillId="21" borderId="4" xfId="1" applyFont="1" applyFill="1" applyBorder="1" applyAlignment="1">
      <alignment horizontal="left" vertical="top" wrapText="1"/>
    </xf>
    <xf numFmtId="0" fontId="17" fillId="22" borderId="2" xfId="1" applyFont="1" applyFill="1" applyBorder="1" applyAlignment="1">
      <alignment horizontal="left" vertical="top" wrapText="1"/>
    </xf>
    <xf numFmtId="0" fontId="19" fillId="22" borderId="3" xfId="1" applyFont="1" applyFill="1" applyBorder="1" applyAlignment="1">
      <alignment horizontal="left" vertical="top" wrapText="1"/>
    </xf>
    <xf numFmtId="0" fontId="19" fillId="22" borderId="3" xfId="1" applyFont="1" applyFill="1" applyBorder="1" applyAlignment="1">
      <alignment horizontal="left" vertical="top"/>
    </xf>
    <xf numFmtId="0" fontId="19" fillId="22" borderId="4" xfId="1" applyFont="1" applyFill="1" applyBorder="1" applyAlignment="1">
      <alignment horizontal="left" vertical="top" wrapText="1"/>
    </xf>
    <xf numFmtId="0" fontId="17" fillId="15" borderId="2" xfId="1" applyFont="1" applyFill="1" applyBorder="1" applyAlignment="1">
      <alignment horizontal="left" vertical="top" wrapText="1"/>
    </xf>
    <xf numFmtId="0" fontId="17" fillId="16" borderId="2" xfId="1" applyFont="1" applyFill="1" applyBorder="1" applyAlignment="1">
      <alignment horizontal="center" vertical="center" wrapText="1"/>
    </xf>
    <xf numFmtId="0" fontId="17" fillId="16" borderId="3" xfId="1" applyFont="1" applyFill="1" applyBorder="1" applyAlignment="1">
      <alignment horizontal="center" vertical="center" wrapText="1"/>
    </xf>
    <xf numFmtId="0" fontId="17" fillId="16" borderId="4" xfId="1" applyFont="1" applyFill="1" applyBorder="1" applyAlignment="1">
      <alignment horizontal="center" vertical="center" wrapText="1"/>
    </xf>
    <xf numFmtId="0" fontId="16" fillId="9" borderId="2" xfId="1" applyFill="1" applyBorder="1" applyAlignment="1">
      <alignment horizontal="left" vertical="center" wrapText="1"/>
    </xf>
    <xf numFmtId="0" fontId="16" fillId="9" borderId="3" xfId="1" applyFill="1" applyBorder="1" applyAlignment="1">
      <alignment horizontal="left" vertical="center" wrapText="1"/>
    </xf>
    <xf numFmtId="0" fontId="16" fillId="9" borderId="4" xfId="1" applyFill="1" applyBorder="1" applyAlignment="1">
      <alignment horizontal="left" vertical="center" wrapText="1"/>
    </xf>
    <xf numFmtId="0" fontId="17" fillId="9" borderId="1" xfId="1" applyFont="1" applyFill="1" applyBorder="1" applyAlignment="1">
      <alignment horizontal="center" vertical="center" wrapText="1"/>
    </xf>
    <xf numFmtId="0" fontId="17" fillId="9" borderId="1" xfId="1" applyFont="1" applyFill="1" applyBorder="1" applyAlignment="1">
      <alignment horizontal="center" vertical="center"/>
    </xf>
    <xf numFmtId="0" fontId="26" fillId="10" borderId="1" xfId="1" applyFont="1" applyFill="1" applyBorder="1" applyAlignment="1">
      <alignment horizontal="left" vertical="center" wrapText="1"/>
    </xf>
    <xf numFmtId="0" fontId="17" fillId="10" borderId="1" xfId="1" applyFont="1" applyFill="1" applyBorder="1" applyAlignment="1">
      <alignment horizontal="center" vertical="center" wrapText="1"/>
    </xf>
    <xf numFmtId="0" fontId="16" fillId="9" borderId="1" xfId="1" applyFill="1" applyBorder="1" applyAlignment="1">
      <alignment horizontal="left" vertical="center" wrapText="1"/>
    </xf>
    <xf numFmtId="0" fontId="16" fillId="27" borderId="1" xfId="1" applyFill="1" applyBorder="1" applyAlignment="1">
      <alignment horizontal="left" vertical="center" wrapText="1"/>
    </xf>
    <xf numFmtId="0" fontId="17" fillId="27" borderId="1" xfId="1" applyFont="1" applyFill="1" applyBorder="1" applyAlignment="1">
      <alignment horizontal="center" vertical="center" wrapText="1"/>
    </xf>
    <xf numFmtId="0" fontId="16" fillId="12" borderId="1" xfId="1" applyFill="1" applyBorder="1" applyAlignment="1">
      <alignment horizontal="left" vertical="center" wrapText="1"/>
    </xf>
    <xf numFmtId="0" fontId="17" fillId="12" borderId="1" xfId="1" applyFont="1" applyFill="1" applyBorder="1" applyAlignment="1">
      <alignment horizontal="center" vertical="center" wrapText="1"/>
    </xf>
    <xf numFmtId="0" fontId="17" fillId="12" borderId="1" xfId="1" applyFont="1" applyFill="1" applyBorder="1" applyAlignment="1">
      <alignment horizontal="center" vertical="center"/>
    </xf>
    <xf numFmtId="0" fontId="16" fillId="13" borderId="1" xfId="1" applyFill="1" applyBorder="1" applyAlignment="1">
      <alignment horizontal="left" vertical="center" wrapText="1"/>
    </xf>
    <xf numFmtId="0" fontId="17" fillId="18" borderId="1" xfId="1" applyFont="1" applyFill="1" applyBorder="1" applyAlignment="1">
      <alignment horizontal="center" vertical="center" wrapText="1"/>
    </xf>
    <xf numFmtId="0" fontId="17" fillId="18" borderId="1" xfId="1" applyFont="1" applyFill="1" applyBorder="1" applyAlignment="1">
      <alignment horizontal="center" vertical="center"/>
    </xf>
    <xf numFmtId="0" fontId="16" fillId="14" borderId="1" xfId="1" applyFill="1" applyBorder="1" applyAlignment="1">
      <alignment horizontal="left" vertical="center" wrapText="1"/>
    </xf>
    <xf numFmtId="0" fontId="17" fillId="14" borderId="1" xfId="1" applyFont="1" applyFill="1" applyBorder="1" applyAlignment="1">
      <alignment horizontal="center" vertical="center"/>
    </xf>
    <xf numFmtId="0" fontId="16" fillId="20" borderId="1" xfId="1" applyFill="1" applyBorder="1" applyAlignment="1">
      <alignment horizontal="left" vertical="center" wrapText="1"/>
    </xf>
    <xf numFmtId="0" fontId="17" fillId="20" borderId="1" xfId="1" applyFont="1" applyFill="1" applyBorder="1" applyAlignment="1">
      <alignment horizontal="center" vertical="center"/>
    </xf>
    <xf numFmtId="0" fontId="26" fillId="14" borderId="1" xfId="1" applyFont="1" applyFill="1" applyBorder="1" applyAlignment="1">
      <alignment horizontal="left" vertical="center" wrapText="1"/>
    </xf>
    <xf numFmtId="0" fontId="17" fillId="14" borderId="1" xfId="1" applyFont="1" applyFill="1" applyBorder="1" applyAlignment="1">
      <alignment horizontal="center" vertical="center" wrapText="1"/>
    </xf>
    <xf numFmtId="0" fontId="17" fillId="20" borderId="1" xfId="1" applyFont="1" applyFill="1" applyBorder="1" applyAlignment="1">
      <alignment horizontal="center" vertical="center" wrapText="1"/>
    </xf>
    <xf numFmtId="0" fontId="16" fillId="23" borderId="1" xfId="1" applyFill="1" applyBorder="1" applyAlignment="1">
      <alignment horizontal="left" vertical="center" wrapText="1"/>
    </xf>
    <xf numFmtId="0" fontId="17" fillId="23" borderId="1" xfId="1" applyFont="1" applyFill="1" applyBorder="1" applyAlignment="1">
      <alignment horizontal="center" vertical="center"/>
    </xf>
    <xf numFmtId="0" fontId="26" fillId="24" borderId="1" xfId="1" applyFont="1" applyFill="1" applyBorder="1" applyAlignment="1">
      <alignment horizontal="left" vertical="center" wrapText="1"/>
    </xf>
    <xf numFmtId="0" fontId="17" fillId="24" borderId="1" xfId="1" applyFont="1" applyFill="1" applyBorder="1" applyAlignment="1">
      <alignment horizontal="center" vertical="center"/>
    </xf>
    <xf numFmtId="0" fontId="16" fillId="24" borderId="1" xfId="1" applyFill="1" applyBorder="1" applyAlignment="1">
      <alignment horizontal="left" vertical="center" wrapText="1"/>
    </xf>
    <xf numFmtId="0" fontId="26" fillId="2" borderId="1" xfId="1" applyFont="1" applyFill="1" applyBorder="1" applyAlignment="1">
      <alignment horizontal="left" vertical="center" wrapText="1"/>
    </xf>
    <xf numFmtId="0" fontId="17" fillId="2" borderId="1" xfId="1" applyFont="1" applyFill="1" applyBorder="1" applyAlignment="1">
      <alignment horizontal="center" vertical="center" wrapText="1"/>
    </xf>
    <xf numFmtId="0" fontId="17" fillId="2" borderId="1" xfId="1" applyFont="1" applyFill="1" applyBorder="1" applyAlignment="1">
      <alignment horizontal="center" vertical="center"/>
    </xf>
    <xf numFmtId="0" fontId="16" fillId="16" borderId="2" xfId="1" applyFill="1" applyBorder="1" applyAlignment="1">
      <alignment horizontal="left" vertical="center" wrapText="1"/>
    </xf>
    <xf numFmtId="0" fontId="16" fillId="16" borderId="3" xfId="1" applyFill="1" applyBorder="1" applyAlignment="1">
      <alignment horizontal="left" vertical="center" wrapText="1"/>
    </xf>
    <xf numFmtId="0" fontId="16" fillId="16" borderId="4" xfId="1" applyFill="1" applyBorder="1" applyAlignment="1">
      <alignment horizontal="left" vertical="center" wrapText="1"/>
    </xf>
    <xf numFmtId="0" fontId="16" fillId="2" borderId="1" xfId="1" applyFill="1" applyBorder="1" applyAlignment="1">
      <alignment horizontal="left" vertical="center" wrapText="1"/>
    </xf>
    <xf numFmtId="0" fontId="16" fillId="25" borderId="2" xfId="1" applyFill="1" applyBorder="1" applyAlignment="1">
      <alignment horizontal="left" vertical="center" wrapText="1"/>
    </xf>
    <xf numFmtId="0" fontId="16" fillId="25" borderId="3" xfId="1" applyFill="1" applyBorder="1" applyAlignment="1">
      <alignment horizontal="left" vertical="center" wrapText="1"/>
    </xf>
    <xf numFmtId="0" fontId="16" fillId="25" borderId="4" xfId="1" applyFill="1" applyBorder="1" applyAlignment="1">
      <alignment horizontal="left" vertical="center" wrapText="1"/>
    </xf>
    <xf numFmtId="0" fontId="17" fillId="25" borderId="1" xfId="1" applyFont="1" applyFill="1" applyBorder="1" applyAlignment="1">
      <alignment horizontal="center" vertical="center"/>
    </xf>
    <xf numFmtId="0" fontId="16" fillId="26" borderId="1" xfId="1" applyFill="1" applyBorder="1" applyAlignment="1">
      <alignment horizontal="left" vertical="center" wrapText="1"/>
    </xf>
    <xf numFmtId="0" fontId="17" fillId="6" borderId="1" xfId="1" applyFont="1" applyFill="1" applyBorder="1" applyAlignment="1">
      <alignment horizontal="center" vertical="center"/>
    </xf>
    <xf numFmtId="0" fontId="16" fillId="5" borderId="1" xfId="1" applyFill="1" applyBorder="1" applyAlignment="1">
      <alignment horizontal="left" vertical="center" wrapText="1"/>
    </xf>
    <xf numFmtId="0" fontId="17" fillId="5" borderId="1" xfId="1" applyFont="1" applyFill="1" applyBorder="1" applyAlignment="1">
      <alignment horizontal="center" vertical="center"/>
    </xf>
    <xf numFmtId="0" fontId="16" fillId="6" borderId="1" xfId="1" applyFill="1" applyBorder="1" applyAlignment="1">
      <alignment horizontal="left" vertical="center" wrapText="1"/>
    </xf>
    <xf numFmtId="0" fontId="17" fillId="6" borderId="1" xfId="1" applyFont="1" applyFill="1" applyBorder="1" applyAlignment="1">
      <alignment horizontal="center" vertical="center" wrapText="1"/>
    </xf>
    <xf numFmtId="0" fontId="16" fillId="5" borderId="2" xfId="1" applyFill="1" applyBorder="1" applyAlignment="1">
      <alignment horizontal="left" vertical="center" wrapText="1"/>
    </xf>
    <xf numFmtId="0" fontId="16" fillId="5" borderId="3" xfId="1" applyFill="1" applyBorder="1" applyAlignment="1">
      <alignment horizontal="left" vertical="center" wrapText="1"/>
    </xf>
    <xf numFmtId="0" fontId="16" fillId="5" borderId="4" xfId="1" applyFill="1" applyBorder="1" applyAlignment="1">
      <alignment horizontal="left" vertical="center" wrapText="1"/>
    </xf>
    <xf numFmtId="0" fontId="16" fillId="25" borderId="1" xfId="1" applyFill="1" applyBorder="1" applyAlignment="1">
      <alignment horizontal="left" vertical="center" wrapText="1"/>
    </xf>
    <xf numFmtId="0" fontId="17" fillId="26" borderId="1" xfId="1" applyFont="1" applyFill="1" applyBorder="1" applyAlignment="1">
      <alignment horizontal="center" vertical="center"/>
    </xf>
    <xf numFmtId="0" fontId="16" fillId="4" borderId="1" xfId="1" applyFill="1" applyBorder="1" applyAlignment="1">
      <alignment horizontal="left" vertical="center" wrapText="1"/>
    </xf>
    <xf numFmtId="0" fontId="17" fillId="4" borderId="1" xfId="1" applyFont="1" applyFill="1" applyBorder="1" applyAlignment="1">
      <alignment horizontal="center" vertical="center" wrapText="1"/>
    </xf>
    <xf numFmtId="0" fontId="0" fillId="0" borderId="32" xfId="0" applyBorder="1" applyAlignment="1">
      <alignment horizontal="center" vertical="top" wrapText="1"/>
    </xf>
    <xf numFmtId="0" fontId="0" fillId="0" borderId="36" xfId="0" applyBorder="1" applyAlignment="1">
      <alignment horizontal="center" vertical="top" wrapText="1"/>
    </xf>
    <xf numFmtId="0" fontId="0" fillId="0" borderId="37" xfId="0" applyBorder="1" applyAlignment="1">
      <alignment horizontal="center" vertical="top" wrapText="1"/>
    </xf>
    <xf numFmtId="0" fontId="0" fillId="0" borderId="33" xfId="0" applyBorder="1" applyAlignment="1">
      <alignment horizontal="center" vertical="top" wrapText="1"/>
    </xf>
    <xf numFmtId="0" fontId="0" fillId="0" borderId="3" xfId="0" applyBorder="1" applyAlignment="1">
      <alignment horizontal="center" vertical="top" wrapText="1"/>
    </xf>
    <xf numFmtId="0" fontId="0" fillId="0" borderId="38" xfId="0" applyBorder="1" applyAlignment="1">
      <alignment horizontal="center" vertical="top" wrapText="1"/>
    </xf>
  </cellXfs>
  <cellStyles count="34">
    <cellStyle name="Gevolgde hyperlink" xfId="29" builtinId="9" hidden="1"/>
    <cellStyle name="Gevolgde hyperlink" xfId="9" builtinId="9" hidden="1"/>
    <cellStyle name="Gevolgde hyperlink" xfId="11" builtinId="9" hidden="1"/>
    <cellStyle name="Gevolgde hyperlink" xfId="27" builtinId="9" hidden="1"/>
    <cellStyle name="Gevolgde hyperlink" xfId="22" builtinId="9" hidden="1"/>
    <cellStyle name="Gevolgde hyperlink" xfId="13" builtinId="9" hidden="1"/>
    <cellStyle name="Gevolgde hyperlink" xfId="12" builtinId="9" hidden="1"/>
    <cellStyle name="Gevolgde hyperlink" xfId="20" builtinId="9" hidden="1"/>
    <cellStyle name="Gevolgde hyperlink" xfId="6" builtinId="9" hidden="1"/>
    <cellStyle name="Gevolgde hyperlink" xfId="7" builtinId="9" hidden="1"/>
    <cellStyle name="Gevolgde hyperlink" xfId="17" builtinId="9" hidden="1"/>
    <cellStyle name="Gevolgde hyperlink" xfId="5" builtinId="9" hidden="1"/>
    <cellStyle name="Gevolgde hyperlink" xfId="19" builtinId="9" hidden="1"/>
    <cellStyle name="Gevolgde hyperlink" xfId="21" builtinId="9" hidden="1"/>
    <cellStyle name="Gevolgde hyperlink" xfId="16" builtinId="9" hidden="1"/>
    <cellStyle name="Gevolgde hyperlink" xfId="23" builtinId="9" hidden="1"/>
    <cellStyle name="Gevolgde hyperlink" xfId="18" builtinId="9" hidden="1"/>
    <cellStyle name="Gevolgde hyperlink" xfId="24" builtinId="9" hidden="1"/>
    <cellStyle name="Gevolgde hyperlink" xfId="8" builtinId="9" hidden="1"/>
    <cellStyle name="Gevolgde hyperlink" xfId="4" builtinId="9" hidden="1"/>
    <cellStyle name="Gevolgde hyperlink" xfId="3" builtinId="9" hidden="1"/>
    <cellStyle name="Gevolgde hyperlink" xfId="10" builtinId="9" hidden="1"/>
    <cellStyle name="Gevolgde hyperlink" xfId="25" builtinId="9" hidden="1"/>
    <cellStyle name="Gevolgde hyperlink" xfId="15" builtinId="9" hidden="1"/>
    <cellStyle name="Gevolgde hyperlink" xfId="14" builtinId="9" hidden="1"/>
    <cellStyle name="Gevolgde hyperlink" xfId="33" builtinId="9" hidden="1"/>
    <cellStyle name="Gevolgde hyperlink" xfId="31" builtinId="9" hidden="1"/>
    <cellStyle name="Hyperlink" xfId="32" builtinId="8" hidden="1"/>
    <cellStyle name="Hyperlink" xfId="2" builtinId="8" hidden="1"/>
    <cellStyle name="Hyperlink" xfId="26" builtinId="8" hidden="1"/>
    <cellStyle name="Hyperlink" xfId="30" builtinId="8" hidden="1"/>
    <cellStyle name="Hyperlink" xfId="28" builtinId="8" hidden="1"/>
    <cellStyle name="Normal 2" xfId="1" xr:uid="{00000000-0005-0000-0000-000021000000}"/>
    <cellStyle name="Standaard" xfId="0" builtinId="0"/>
  </cellStyles>
  <dxfs count="100">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ill>
        <patternFill>
          <bgColor theme="5" tint="0.79998168889431442"/>
        </patternFill>
      </fill>
    </dxf>
    <dxf>
      <fill>
        <patternFill>
          <bgColor rgb="FF00B0F0"/>
        </patternFill>
      </fill>
    </dxf>
    <dxf>
      <fill>
        <patternFill>
          <bgColor rgb="FF00B050"/>
        </patternFill>
      </fill>
    </dxf>
    <dxf>
      <fill>
        <patternFill>
          <bgColor theme="8" tint="0.79998168889431442"/>
        </patternFill>
      </fill>
    </dxf>
    <dxf>
      <fill>
        <patternFill>
          <bgColor rgb="FF92D050"/>
        </patternFill>
      </fill>
    </dxf>
    <dxf>
      <fill>
        <patternFill>
          <bgColor theme="8" tint="0.79998168889431442"/>
        </patternFill>
      </fill>
    </dxf>
    <dxf>
      <fill>
        <patternFill>
          <bgColor rgb="FF00B050"/>
        </patternFill>
      </fill>
    </dxf>
    <dxf>
      <fill>
        <patternFill>
          <bgColor rgb="FF92D050"/>
        </patternFill>
      </fill>
    </dxf>
    <dxf>
      <fill>
        <patternFill>
          <bgColor theme="5" tint="0.79998168889431442"/>
        </patternFill>
      </fill>
    </dxf>
    <dxf>
      <fill>
        <patternFill>
          <bgColor rgb="FF00B0F0"/>
        </patternFill>
      </fill>
    </dxf>
    <dxf>
      <font>
        <color theme="0"/>
      </font>
      <fill>
        <patternFill>
          <bgColor rgb="FFFF0000"/>
        </patternFill>
      </fill>
    </dxf>
    <dxf>
      <font>
        <color theme="0"/>
      </font>
      <fill>
        <patternFill>
          <bgColor rgb="FFFF0000"/>
        </patternFill>
      </fill>
    </dxf>
    <dxf>
      <fill>
        <patternFill>
          <bgColor rgb="FF00B0F0"/>
        </patternFill>
      </fill>
    </dxf>
    <dxf>
      <fill>
        <patternFill>
          <bgColor theme="5" tint="0.79998168889431442"/>
        </patternFill>
      </fill>
    </dxf>
    <dxf>
      <fill>
        <patternFill>
          <bgColor rgb="FF92D050"/>
        </patternFill>
      </fill>
    </dxf>
    <dxf>
      <fill>
        <patternFill>
          <bgColor rgb="FF00B050"/>
        </patternFill>
      </fill>
    </dxf>
    <dxf>
      <fill>
        <patternFill>
          <bgColor theme="8" tint="0.79998168889431442"/>
        </patternFill>
      </fill>
    </dxf>
    <dxf>
      <fill>
        <patternFill>
          <bgColor theme="5" tint="0.79998168889431442"/>
        </patternFill>
      </fill>
    </dxf>
    <dxf>
      <font>
        <color theme="0"/>
      </font>
      <fill>
        <patternFill>
          <bgColor rgb="FFFF0000"/>
        </patternFill>
      </fill>
    </dxf>
    <dxf>
      <fill>
        <patternFill>
          <bgColor rgb="FF00B0F0"/>
        </patternFill>
      </fill>
    </dxf>
    <dxf>
      <fill>
        <patternFill>
          <bgColor theme="8" tint="0.79998168889431442"/>
        </patternFill>
      </fill>
    </dxf>
    <dxf>
      <fill>
        <patternFill>
          <bgColor rgb="FF00B050"/>
        </patternFill>
      </fill>
    </dxf>
    <dxf>
      <fill>
        <patternFill>
          <bgColor rgb="FF92D050"/>
        </patternFill>
      </fill>
    </dxf>
    <dxf>
      <font>
        <color theme="0"/>
      </font>
      <fill>
        <patternFill>
          <bgColor rgb="FFFF0000"/>
        </patternFill>
      </fill>
    </dxf>
    <dxf>
      <fill>
        <patternFill>
          <bgColor rgb="FF00B0F0"/>
        </patternFill>
      </fill>
    </dxf>
    <dxf>
      <fill>
        <patternFill>
          <bgColor theme="5" tint="0.79998168889431442"/>
        </patternFill>
      </fill>
    </dxf>
    <dxf>
      <fill>
        <patternFill>
          <bgColor rgb="FF92D050"/>
        </patternFill>
      </fill>
    </dxf>
    <dxf>
      <fill>
        <patternFill>
          <bgColor rgb="FF00B050"/>
        </patternFill>
      </fill>
    </dxf>
    <dxf>
      <fill>
        <patternFill>
          <bgColor theme="8" tint="0.79998168889431442"/>
        </patternFill>
      </fill>
    </dxf>
    <dxf>
      <font>
        <color theme="0"/>
      </font>
      <fill>
        <patternFill>
          <bgColor rgb="FFFF0000"/>
        </patternFill>
      </fill>
    </dxf>
    <dxf>
      <fill>
        <patternFill>
          <bgColor rgb="FF00B0F0"/>
        </patternFill>
      </fill>
    </dxf>
    <dxf>
      <fill>
        <patternFill>
          <bgColor theme="5" tint="0.79998168889431442"/>
        </patternFill>
      </fill>
    </dxf>
    <dxf>
      <fill>
        <patternFill>
          <bgColor rgb="FF92D050"/>
        </patternFill>
      </fill>
    </dxf>
    <dxf>
      <fill>
        <patternFill>
          <bgColor rgb="FF00B050"/>
        </patternFill>
      </fill>
    </dxf>
    <dxf>
      <fill>
        <patternFill>
          <bgColor theme="8" tint="0.79998168889431442"/>
        </patternFill>
      </fill>
    </dxf>
    <dxf>
      <fill>
        <patternFill>
          <bgColor rgb="FF92D050"/>
        </patternFill>
      </fill>
    </dxf>
    <dxf>
      <font>
        <color theme="0"/>
      </font>
      <fill>
        <patternFill>
          <bgColor rgb="FFFF0000"/>
        </patternFill>
      </fill>
    </dxf>
    <dxf>
      <fill>
        <patternFill>
          <bgColor rgb="FF00B0F0"/>
        </patternFill>
      </fill>
    </dxf>
    <dxf>
      <fill>
        <patternFill>
          <bgColor rgb="FF00B050"/>
        </patternFill>
      </fill>
    </dxf>
    <dxf>
      <fill>
        <patternFill>
          <bgColor theme="8" tint="0.79998168889431442"/>
        </patternFill>
      </fill>
    </dxf>
    <dxf>
      <fill>
        <patternFill>
          <bgColor theme="5" tint="0.79998168889431442"/>
        </patternFill>
      </fill>
    </dxf>
    <dxf>
      <font>
        <color auto="1"/>
      </font>
      <fill>
        <patternFill>
          <bgColor theme="8" tint="0.79998168889431442"/>
        </patternFill>
      </fill>
    </dxf>
    <dxf>
      <font>
        <color auto="1"/>
      </font>
      <fill>
        <patternFill>
          <bgColor rgb="FFF7FBFF"/>
        </patternFill>
      </fill>
    </dxf>
    <dxf>
      <fill>
        <patternFill>
          <bgColor theme="8" tint="0.79998168889431442"/>
        </patternFill>
      </fill>
    </dxf>
    <dxf>
      <font>
        <color auto="1"/>
      </font>
      <fill>
        <patternFill>
          <bgColor theme="8" tint="0.79998168889431442"/>
        </patternFill>
      </fill>
    </dxf>
    <dxf>
      <font>
        <color auto="1"/>
      </font>
      <fill>
        <patternFill>
          <bgColor rgb="FFF7FBFF"/>
        </patternFill>
      </fill>
    </dxf>
    <dxf>
      <fill>
        <patternFill>
          <bgColor theme="8" tint="0.79998168889431442"/>
        </patternFill>
      </fill>
    </dxf>
    <dxf>
      <font>
        <color auto="1"/>
      </font>
      <fill>
        <patternFill>
          <bgColor rgb="FFF7FBFF"/>
        </patternFill>
      </fill>
    </dxf>
    <dxf>
      <font>
        <color auto="1"/>
      </font>
      <fill>
        <patternFill>
          <bgColor theme="8" tint="0.79998168889431442"/>
        </patternFill>
      </fill>
    </dxf>
    <dxf>
      <fill>
        <patternFill>
          <bgColor theme="8" tint="0.79998168889431442"/>
        </patternFill>
      </fill>
    </dxf>
    <dxf>
      <font>
        <color auto="1"/>
      </font>
      <fill>
        <patternFill>
          <bgColor theme="8" tint="0.79998168889431442"/>
        </patternFill>
      </fill>
    </dxf>
    <dxf>
      <fill>
        <patternFill>
          <bgColor theme="8" tint="0.79998168889431442"/>
        </patternFill>
      </fill>
    </dxf>
    <dxf>
      <font>
        <color auto="1"/>
      </font>
      <fill>
        <patternFill>
          <bgColor rgb="FFF7FBFF"/>
        </patternFill>
      </fill>
    </dxf>
    <dxf>
      <fill>
        <patternFill>
          <bgColor theme="8" tint="0.79998168889431442"/>
        </patternFill>
      </fill>
    </dxf>
    <dxf>
      <font>
        <color auto="1"/>
      </font>
      <fill>
        <patternFill>
          <bgColor theme="8" tint="0.79998168889431442"/>
        </patternFill>
      </fill>
    </dxf>
    <dxf>
      <font>
        <color auto="1"/>
      </font>
      <fill>
        <patternFill>
          <bgColor rgb="FFF7FBFF"/>
        </patternFill>
      </fill>
    </dxf>
    <dxf>
      <font>
        <color auto="1"/>
      </font>
      <fill>
        <patternFill>
          <bgColor theme="8" tint="0.79998168889431442"/>
        </patternFill>
      </fill>
    </dxf>
    <dxf>
      <font>
        <color auto="1"/>
      </font>
      <fill>
        <patternFill>
          <bgColor rgb="FFF7FBFF"/>
        </patternFill>
      </fill>
    </dxf>
    <dxf>
      <fill>
        <patternFill>
          <bgColor theme="8" tint="0.79998168889431442"/>
        </patternFill>
      </fill>
    </dxf>
    <dxf>
      <font>
        <color auto="1"/>
      </font>
      <fill>
        <patternFill>
          <bgColor rgb="FFF7FBFF"/>
        </patternFill>
      </fill>
    </dxf>
    <dxf>
      <font>
        <color auto="1"/>
      </font>
      <fill>
        <patternFill>
          <bgColor theme="8" tint="0.79998168889431442"/>
        </patternFill>
      </fill>
    </dxf>
    <dxf>
      <fill>
        <patternFill>
          <bgColor theme="8" tint="0.79998168889431442"/>
        </patternFill>
      </fill>
    </dxf>
    <dxf>
      <font>
        <color auto="1"/>
      </font>
      <fill>
        <patternFill>
          <bgColor rgb="FFF7FBFF"/>
        </patternFill>
      </fill>
    </dxf>
    <dxf>
      <font>
        <color auto="1"/>
      </font>
      <fill>
        <patternFill>
          <bgColor theme="8" tint="0.79998168889431442"/>
        </patternFill>
      </fill>
    </dxf>
    <dxf>
      <fill>
        <patternFill>
          <bgColor theme="8" tint="0.79998168889431442"/>
        </patternFill>
      </fill>
    </dxf>
    <dxf>
      <font>
        <color auto="1"/>
      </font>
      <fill>
        <patternFill>
          <bgColor rgb="FFF7FBFF"/>
        </patternFill>
      </fill>
    </dxf>
    <dxf>
      <font>
        <color auto="1"/>
      </font>
      <fill>
        <patternFill>
          <bgColor theme="8" tint="0.79998168889431442"/>
        </patternFill>
      </fill>
    </dxf>
    <dxf>
      <fill>
        <patternFill>
          <bgColor theme="8" tint="0.79998168889431442"/>
        </patternFill>
      </fill>
    </dxf>
    <dxf>
      <font>
        <color auto="1"/>
      </font>
      <fill>
        <patternFill>
          <bgColor theme="8" tint="0.79998168889431442"/>
        </patternFill>
      </fill>
    </dxf>
    <dxf>
      <fill>
        <patternFill>
          <bgColor theme="8" tint="0.79998168889431442"/>
        </patternFill>
      </fill>
    </dxf>
    <dxf>
      <font>
        <color auto="1"/>
      </font>
      <fill>
        <patternFill>
          <bgColor rgb="FFF7FBFF"/>
        </patternFill>
      </fill>
    </dxf>
    <dxf>
      <font>
        <color auto="1"/>
      </font>
      <fill>
        <patternFill>
          <bgColor theme="8" tint="0.79998168889431442"/>
        </patternFill>
      </fill>
    </dxf>
    <dxf>
      <font>
        <color auto="1"/>
      </font>
      <fill>
        <patternFill>
          <bgColor rgb="FFF7FBFF"/>
        </patternFill>
      </fill>
    </dxf>
    <dxf>
      <fill>
        <patternFill>
          <bgColor theme="8" tint="0.79998168889431442"/>
        </patternFill>
      </fill>
    </dxf>
    <dxf>
      <fill>
        <patternFill>
          <bgColor rgb="FFF7FCFF"/>
        </patternFill>
      </fill>
    </dxf>
    <dxf>
      <fill>
        <patternFill>
          <bgColor theme="8" tint="0.79998168889431442"/>
        </patternFill>
      </fill>
    </dxf>
    <dxf>
      <font>
        <color theme="0"/>
      </font>
      <fill>
        <patternFill>
          <bgColor rgb="FFFF0000"/>
        </patternFill>
      </fill>
    </dxf>
    <dxf>
      <fill>
        <patternFill>
          <bgColor theme="8" tint="0.39994506668294322"/>
        </patternFill>
      </fill>
    </dxf>
    <dxf>
      <fill>
        <patternFill>
          <bgColor rgb="FFFFC5C5"/>
        </patternFill>
      </fill>
    </dxf>
    <dxf>
      <fill>
        <patternFill>
          <bgColor theme="9" tint="0.59996337778862885"/>
        </patternFill>
      </fill>
    </dxf>
    <dxf>
      <font>
        <b/>
        <i val="0"/>
        <color theme="0"/>
      </font>
      <fill>
        <patternFill>
          <bgColor rgb="FF00B050"/>
        </patternFill>
      </fill>
    </dxf>
    <dxf>
      <fill>
        <patternFill>
          <bgColor theme="8" tint="0.79998168889431442"/>
        </patternFill>
      </fill>
    </dxf>
    <dxf>
      <font>
        <color auto="1"/>
      </font>
      <fill>
        <patternFill>
          <bgColor theme="8" tint="0.79998168889431442"/>
        </patternFill>
      </fill>
    </dxf>
    <dxf>
      <fill>
        <patternFill>
          <bgColor theme="8" tint="0.79998168889431442"/>
        </patternFill>
      </fill>
    </dxf>
    <dxf>
      <font>
        <color auto="1"/>
      </font>
      <fill>
        <patternFill>
          <bgColor theme="8" tint="0.79998168889431442"/>
        </patternFill>
      </fill>
    </dxf>
    <dxf>
      <font>
        <color auto="1"/>
      </font>
      <fill>
        <patternFill>
          <bgColor rgb="FFF7FBFF"/>
        </patternFill>
      </fill>
    </dxf>
    <dxf>
      <fill>
        <patternFill>
          <bgColor rgb="FFF7FCFF"/>
        </patternFill>
      </fill>
    </dxf>
    <dxf>
      <font>
        <color theme="0"/>
      </font>
      <fill>
        <patternFill>
          <bgColor rgb="FFFF0000"/>
        </patternFill>
      </fill>
    </dxf>
    <dxf>
      <fill>
        <patternFill>
          <bgColor theme="8" tint="0.39994506668294322"/>
        </patternFill>
      </fill>
    </dxf>
    <dxf>
      <fill>
        <patternFill>
          <bgColor rgb="FFFFAFAF"/>
        </patternFill>
      </fill>
    </dxf>
    <dxf>
      <fill>
        <patternFill>
          <bgColor theme="9" tint="0.59996337778862885"/>
        </patternFill>
      </fill>
    </dxf>
    <dxf>
      <font>
        <b/>
        <i val="0"/>
        <strike val="0"/>
        <color theme="0"/>
      </font>
      <fill>
        <patternFill>
          <bgColor rgb="FF00B050"/>
        </patternFill>
      </fill>
    </dxf>
    <dxf>
      <fill>
        <patternFill>
          <bgColor theme="8" tint="0.79998168889431442"/>
        </patternFill>
      </fill>
    </dxf>
    <dxf>
      <fill>
        <patternFill>
          <bgColor theme="8" tint="0.39994506668294322"/>
        </patternFill>
      </fill>
    </dxf>
    <dxf>
      <fill>
        <patternFill>
          <bgColor theme="7" tint="0.59996337778862885"/>
        </patternFill>
      </fill>
    </dxf>
  </dxfs>
  <tableStyles count="0" defaultTableStyle="TableStyleMedium9" defaultPivotStyle="PivotStyleMedium7"/>
  <colors>
    <mruColors>
      <color rgb="FFCCFFCC"/>
      <color rgb="FFFFC5C5"/>
      <color rgb="FFFFAFAF"/>
      <color rgb="FFFF9F9F"/>
      <color rgb="FFFFBDBD"/>
      <color rgb="FFEFFFEF"/>
      <color rgb="FFFE9494"/>
      <color rgb="FFFFEBEB"/>
      <color rgb="FFCCC1D9"/>
      <color rgb="FFB2A2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9848350</xdr:colOff>
      <xdr:row>27</xdr:row>
      <xdr:rowOff>20139</xdr:rowOff>
    </xdr:to>
    <xdr:pic>
      <xdr:nvPicPr>
        <xdr:cNvPr id="2" name="Afbeelding 1">
          <a:extLst>
            <a:ext uri="{FF2B5EF4-FFF2-40B4-BE49-F238E27FC236}">
              <a16:creationId xmlns:a16="http://schemas.microsoft.com/office/drawing/2014/main" id="{5072EC7B-3159-4762-AA93-EE3F639A5104}"/>
            </a:ext>
          </a:extLst>
        </xdr:cNvPr>
        <xdr:cNvPicPr>
          <a:picLocks noChangeAspect="1"/>
        </xdr:cNvPicPr>
      </xdr:nvPicPr>
      <xdr:blipFill>
        <a:blip xmlns:r="http://schemas.openxmlformats.org/officeDocument/2006/relationships" r:embed="rId1"/>
        <a:stretch>
          <a:fillRect/>
        </a:stretch>
      </xdr:blipFill>
      <xdr:spPr>
        <a:xfrm>
          <a:off x="0" y="1000125"/>
          <a:ext cx="9844540" cy="4816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pageSetUpPr fitToPage="1"/>
  </sheetPr>
  <dimension ref="A1:AW37"/>
  <sheetViews>
    <sheetView tabSelected="1" zoomScaleNormal="100" zoomScalePageLayoutView="85" workbookViewId="0">
      <selection activeCell="F15" sqref="F15"/>
    </sheetView>
  </sheetViews>
  <sheetFormatPr baseColWidth="10" defaultColWidth="9" defaultRowHeight="16" x14ac:dyDescent="0.2"/>
  <cols>
    <col min="1" max="1" width="1" style="50" customWidth="1"/>
    <col min="2" max="2" width="2.33203125" style="50" customWidth="1"/>
    <col min="3" max="3" width="18.1640625" style="50" customWidth="1"/>
    <col min="4" max="4" width="35.6640625" style="50" customWidth="1"/>
    <col min="5" max="8" width="45.6640625" style="50" customWidth="1"/>
    <col min="9" max="9" width="23.6640625" style="50" customWidth="1"/>
    <col min="10" max="10" width="10.1640625" style="50" customWidth="1"/>
    <col min="11" max="12" width="9" style="50"/>
    <col min="13" max="16" width="9" style="50" customWidth="1"/>
    <col min="17" max="17" width="16.6640625" style="50" customWidth="1"/>
    <col min="18" max="20" width="9" style="50" customWidth="1"/>
    <col min="21" max="49" width="9" style="50"/>
  </cols>
  <sheetData>
    <row r="1" spans="1:20" s="50" customFormat="1" ht="17" thickBot="1" x14ac:dyDescent="0.25">
      <c r="C1" s="214" t="s">
        <v>530</v>
      </c>
      <c r="D1" s="214"/>
      <c r="E1" s="214"/>
      <c r="F1" s="214"/>
      <c r="G1" s="214"/>
      <c r="H1" s="214"/>
      <c r="T1" s="99"/>
    </row>
    <row r="2" spans="1:20" x14ac:dyDescent="0.2">
      <c r="C2" s="73" t="s">
        <v>231</v>
      </c>
      <c r="D2" s="208" t="s">
        <v>583</v>
      </c>
      <c r="E2" s="119" t="s">
        <v>333</v>
      </c>
      <c r="F2" s="207" t="s">
        <v>582</v>
      </c>
      <c r="G2" s="75" t="s">
        <v>347</v>
      </c>
      <c r="H2" s="65"/>
      <c r="I2" s="58"/>
      <c r="T2" s="99"/>
    </row>
    <row r="3" spans="1:20" ht="17" thickBot="1" x14ac:dyDescent="0.25">
      <c r="C3" s="96" t="s">
        <v>346</v>
      </c>
      <c r="D3" s="209" t="s">
        <v>584</v>
      </c>
      <c r="E3" s="120" t="s">
        <v>406</v>
      </c>
      <c r="F3" s="206" t="s">
        <v>581</v>
      </c>
      <c r="G3" s="76" t="s">
        <v>348</v>
      </c>
      <c r="H3" s="60"/>
      <c r="I3" s="58"/>
      <c r="T3" s="99"/>
    </row>
    <row r="4" spans="1:20" x14ac:dyDescent="0.2">
      <c r="C4" s="96" t="s">
        <v>454</v>
      </c>
      <c r="D4" s="210" t="s">
        <v>585</v>
      </c>
      <c r="E4" s="119" t="s">
        <v>232</v>
      </c>
      <c r="F4" s="205" t="s">
        <v>332</v>
      </c>
      <c r="G4" s="76" t="s">
        <v>349</v>
      </c>
      <c r="H4" s="60"/>
      <c r="I4" s="58"/>
      <c r="T4" s="99"/>
    </row>
    <row r="5" spans="1:20" ht="17" thickBot="1" x14ac:dyDescent="0.25">
      <c r="C5" s="74" t="s">
        <v>345</v>
      </c>
      <c r="D5" s="211" t="s">
        <v>586</v>
      </c>
      <c r="E5" s="123" t="s">
        <v>334</v>
      </c>
      <c r="F5" s="72" t="s">
        <v>332</v>
      </c>
      <c r="G5" s="61"/>
      <c r="H5" s="66"/>
      <c r="I5" s="58"/>
      <c r="T5" s="99"/>
    </row>
    <row r="6" spans="1:20" ht="13.5" customHeight="1" x14ac:dyDescent="0.2">
      <c r="C6" s="230"/>
      <c r="D6" s="231"/>
      <c r="E6" s="231"/>
      <c r="F6" s="231"/>
      <c r="G6" s="231"/>
      <c r="H6" s="232"/>
      <c r="I6" s="58"/>
      <c r="T6" s="99"/>
    </row>
    <row r="7" spans="1:20" ht="13.5" customHeight="1" thickBot="1" x14ac:dyDescent="0.25">
      <c r="C7" s="233"/>
      <c r="D7" s="234"/>
      <c r="E7" s="234"/>
      <c r="F7" s="234"/>
      <c r="G7" s="234"/>
      <c r="H7" s="235"/>
      <c r="I7" s="58"/>
      <c r="T7" s="99"/>
    </row>
    <row r="8" spans="1:20" ht="15.75" customHeight="1" thickBot="1" x14ac:dyDescent="0.25">
      <c r="C8" s="219"/>
      <c r="D8" s="220"/>
      <c r="E8" s="124" t="s">
        <v>534</v>
      </c>
      <c r="F8" s="104" t="s">
        <v>330</v>
      </c>
      <c r="G8" s="104" t="s">
        <v>331</v>
      </c>
      <c r="H8" s="104" t="s">
        <v>535</v>
      </c>
      <c r="I8" s="58"/>
      <c r="T8" s="99"/>
    </row>
    <row r="9" spans="1:20" ht="61.5" customHeight="1" thickBot="1" x14ac:dyDescent="0.25">
      <c r="B9" s="69"/>
      <c r="C9" s="64" t="s">
        <v>317</v>
      </c>
      <c r="D9" s="103" t="s">
        <v>344</v>
      </c>
      <c r="E9" s="121" t="s">
        <v>538</v>
      </c>
      <c r="F9" s="105" t="s">
        <v>591</v>
      </c>
      <c r="G9" s="105" t="s">
        <v>350</v>
      </c>
      <c r="H9" s="105" t="s">
        <v>350</v>
      </c>
      <c r="I9" s="104" t="s">
        <v>490</v>
      </c>
      <c r="T9" s="99"/>
    </row>
    <row r="10" spans="1:20" ht="15.75" customHeight="1" thickTop="1" x14ac:dyDescent="0.2">
      <c r="A10" s="70"/>
      <c r="B10" s="246" t="s">
        <v>405</v>
      </c>
      <c r="C10" s="217" t="s">
        <v>234</v>
      </c>
      <c r="D10" s="217" t="str">
        <f>VLOOKUP(C10,Admin!$C:$D,2,FALSE)</f>
        <v>De student brengt helder in kaart waar, wanneer, voor wie en waarom welke problemen zich voordoen, wat de uitgangssituatie is, welke risico's er mogelijk zijn en welke (f)actoren daarbij een rol spelen.</v>
      </c>
      <c r="E10" s="117" t="s">
        <v>341</v>
      </c>
      <c r="F10" s="117" t="s">
        <v>341</v>
      </c>
      <c r="G10" s="117" t="s">
        <v>267</v>
      </c>
      <c r="H10" s="117" t="s">
        <v>267</v>
      </c>
      <c r="I10" s="244" t="s">
        <v>496</v>
      </c>
    </row>
    <row r="11" spans="1:20" ht="63.75" customHeight="1" thickBot="1" x14ac:dyDescent="0.25">
      <c r="A11" s="70"/>
      <c r="B11" s="247"/>
      <c r="C11" s="218"/>
      <c r="D11" s="218"/>
      <c r="E11" s="118" t="s">
        <v>589</v>
      </c>
      <c r="F11" s="57" t="s">
        <v>592</v>
      </c>
      <c r="G11" s="57" t="s">
        <v>491</v>
      </c>
      <c r="H11" s="57" t="s">
        <v>491</v>
      </c>
      <c r="I11" s="245"/>
    </row>
    <row r="12" spans="1:20" ht="18" customHeight="1" x14ac:dyDescent="0.2">
      <c r="A12" s="70"/>
      <c r="B12" s="247"/>
      <c r="C12" s="217" t="s">
        <v>484</v>
      </c>
      <c r="D12" s="217" t="str">
        <f>VLOOKUP(C12,Admin!$C:$D,2,FALSE)</f>
        <v>De student communiceert, schriftelijk en mondeling, op zelfbewuste, strategische en adequate wijze aan een doelgroep gerelateerde boodschappen richting individuen en kleine en grote groepen</v>
      </c>
      <c r="E12" s="117" t="s">
        <v>341</v>
      </c>
      <c r="F12" s="117" t="s">
        <v>341</v>
      </c>
      <c r="G12" s="117" t="s">
        <v>267</v>
      </c>
      <c r="H12" s="117" t="s">
        <v>267</v>
      </c>
      <c r="I12" s="244" t="s">
        <v>496</v>
      </c>
    </row>
    <row r="13" spans="1:20" ht="64.5" customHeight="1" thickBot="1" x14ac:dyDescent="0.25">
      <c r="A13" s="70"/>
      <c r="B13" s="247"/>
      <c r="C13" s="218"/>
      <c r="D13" s="218"/>
      <c r="E13" s="118" t="s">
        <v>588</v>
      </c>
      <c r="F13" s="57" t="s">
        <v>597</v>
      </c>
      <c r="G13" s="57" t="s">
        <v>491</v>
      </c>
      <c r="H13" s="57" t="s">
        <v>491</v>
      </c>
      <c r="I13" s="245"/>
    </row>
    <row r="14" spans="1:20" ht="16.5" customHeight="1" x14ac:dyDescent="0.2">
      <c r="A14" s="70"/>
      <c r="B14" s="247"/>
      <c r="C14" s="217" t="s">
        <v>262</v>
      </c>
      <c r="D14" s="217" t="str">
        <f>VLOOKUP(C14,Admin!$C:$D,2,FALSE)</f>
        <v>De student hanteert hoge kwaliteitsnormen voor anderen en zichzelf en stelt zichzelf vragen. Op zoek naar antwoorden hanteert de student gestandaardiseerde methoden/technieken/processen, en relevante en adequate argumentatie.</v>
      </c>
      <c r="E14" s="117" t="s">
        <v>343</v>
      </c>
      <c r="F14" s="117" t="s">
        <v>341</v>
      </c>
      <c r="G14" s="117" t="s">
        <v>267</v>
      </c>
      <c r="H14" s="117" t="s">
        <v>267</v>
      </c>
      <c r="I14" s="244" t="s">
        <v>496</v>
      </c>
    </row>
    <row r="15" spans="1:20" ht="74.25" customHeight="1" thickBot="1" x14ac:dyDescent="0.25">
      <c r="A15" s="70"/>
      <c r="B15" s="247"/>
      <c r="C15" s="218"/>
      <c r="D15" s="218"/>
      <c r="E15" s="118" t="s">
        <v>590</v>
      </c>
      <c r="F15" s="57" t="s">
        <v>596</v>
      </c>
      <c r="G15" s="57" t="s">
        <v>491</v>
      </c>
      <c r="H15" s="57" t="s">
        <v>491</v>
      </c>
      <c r="I15" s="245"/>
    </row>
    <row r="16" spans="1:20" ht="18" customHeight="1" x14ac:dyDescent="0.2">
      <c r="A16" s="70"/>
      <c r="B16" s="247"/>
      <c r="C16" s="217" t="s">
        <v>265</v>
      </c>
      <c r="D16" s="217" t="str">
        <f>VLOOKUP(C16,Admin!$C:$D,2,FALSE)</f>
        <v>De student is in staat het eigen leerproces vorm te geven waarbij voorbereid wordt op life-long-learning.</v>
      </c>
      <c r="E16" s="117" t="s">
        <v>341</v>
      </c>
      <c r="F16" s="117" t="s">
        <v>341</v>
      </c>
      <c r="G16" s="117" t="s">
        <v>267</v>
      </c>
      <c r="H16" s="117" t="s">
        <v>267</v>
      </c>
      <c r="I16" s="244" t="s">
        <v>496</v>
      </c>
    </row>
    <row r="17" spans="1:9" ht="63.75" customHeight="1" thickBot="1" x14ac:dyDescent="0.25">
      <c r="A17" s="70"/>
      <c r="B17" s="248"/>
      <c r="C17" s="218"/>
      <c r="D17" s="218"/>
      <c r="E17" s="118" t="s">
        <v>588</v>
      </c>
      <c r="F17" s="57" t="s">
        <v>594</v>
      </c>
      <c r="G17" s="57" t="s">
        <v>491</v>
      </c>
      <c r="H17" s="57" t="s">
        <v>491</v>
      </c>
      <c r="I17" s="245"/>
    </row>
    <row r="18" spans="1:9" ht="15.75" customHeight="1" thickTop="1" x14ac:dyDescent="0.2">
      <c r="B18" s="71"/>
      <c r="C18" s="223" t="s">
        <v>240</v>
      </c>
      <c r="D18" s="217" t="str">
        <f>VLOOKUP(C18,Admin!$C:$D,2,FALSE)</f>
        <v>De student maakt op basis van analyses en best practices gemotiveerde keuzes voor de opbouw van een software project. Zowel op micro (binnen modules), meso (tussen modules) als macro (module selectie) niveau.</v>
      </c>
      <c r="E18" s="117" t="s">
        <v>341</v>
      </c>
      <c r="F18" s="117" t="s">
        <v>529</v>
      </c>
      <c r="G18" s="117" t="s">
        <v>267</v>
      </c>
      <c r="H18" s="117" t="s">
        <v>267</v>
      </c>
      <c r="I18" s="244" t="s">
        <v>496</v>
      </c>
    </row>
    <row r="19" spans="1:9" ht="69" customHeight="1" thickBot="1" x14ac:dyDescent="0.25">
      <c r="C19" s="224"/>
      <c r="D19" s="218"/>
      <c r="E19" s="118" t="s">
        <v>587</v>
      </c>
      <c r="F19" s="57" t="s">
        <v>593</v>
      </c>
      <c r="G19" s="57" t="s">
        <v>491</v>
      </c>
      <c r="H19" s="57" t="s">
        <v>491</v>
      </c>
      <c r="I19" s="245"/>
    </row>
    <row r="20" spans="1:9" ht="15.75" customHeight="1" x14ac:dyDescent="0.2">
      <c r="C20" s="223" t="s">
        <v>249</v>
      </c>
      <c r="D20" s="217" t="str">
        <f>VLOOKUP(C20,Admin!$C:$D,2,FALSE)</f>
        <v>De student ontwikkelt een onderbouwd softwareproduct op basis van een ontwerp. Hierbij wordt gebruik gemaakt van programmeer-, opmaak- en scripttalen. Er kan gebruik gemaakt worden van bestaande libraries en frameworks of begonnen worden 'from scratch'.</v>
      </c>
      <c r="E20" s="117" t="s">
        <v>341</v>
      </c>
      <c r="F20" s="117" t="s">
        <v>528</v>
      </c>
      <c r="G20" s="117" t="s">
        <v>267</v>
      </c>
      <c r="H20" s="117" t="s">
        <v>267</v>
      </c>
      <c r="I20" s="244" t="s">
        <v>496</v>
      </c>
    </row>
    <row r="21" spans="1:9" ht="70.5" customHeight="1" thickBot="1" x14ac:dyDescent="0.25">
      <c r="C21" s="224"/>
      <c r="D21" s="218"/>
      <c r="E21" s="118" t="s">
        <v>587</v>
      </c>
      <c r="F21" s="57" t="s">
        <v>491</v>
      </c>
      <c r="G21" s="57" t="s">
        <v>491</v>
      </c>
      <c r="H21" s="57" t="s">
        <v>491</v>
      </c>
      <c r="I21" s="245"/>
    </row>
    <row r="22" spans="1:9" x14ac:dyDescent="0.2">
      <c r="C22" s="223" t="s">
        <v>250</v>
      </c>
      <c r="D22" s="217" t="str">
        <f>VLOOKUP(C22,Admin!$C:$D,2,FALSE)</f>
        <v>De student toetst of een ontwikkeld ICT product of beleid voldoet aan de opgestelde (niet-)functionele requirements. Hierbij wordt planmatig en volgens best practices gewerkt en waar mogelijk wordt het proces geautomatiseerd. Er wordt aandacht besteed aan het formaliseren van testcases en evaluatiecriteria</v>
      </c>
      <c r="E22" s="117" t="s">
        <v>341</v>
      </c>
      <c r="F22" s="117" t="s">
        <v>528</v>
      </c>
      <c r="G22" s="117" t="s">
        <v>267</v>
      </c>
      <c r="H22" s="117" t="s">
        <v>267</v>
      </c>
      <c r="I22" s="244" t="s">
        <v>496</v>
      </c>
    </row>
    <row r="23" spans="1:9" ht="61.5" customHeight="1" thickBot="1" x14ac:dyDescent="0.25">
      <c r="C23" s="224"/>
      <c r="D23" s="218"/>
      <c r="E23" s="118" t="s">
        <v>587</v>
      </c>
      <c r="F23" s="57" t="s">
        <v>491</v>
      </c>
      <c r="G23" s="57" t="s">
        <v>491</v>
      </c>
      <c r="H23" s="57" t="s">
        <v>491</v>
      </c>
      <c r="I23" s="245"/>
    </row>
    <row r="24" spans="1:9" ht="15.75" customHeight="1" x14ac:dyDescent="0.2">
      <c r="C24" s="223" t="s">
        <v>278</v>
      </c>
      <c r="D24" s="217" t="str">
        <f>VLOOKUP(C24,Admin!$C:$D,2,FALSE)</f>
        <v/>
      </c>
      <c r="E24" s="117" t="s">
        <v>267</v>
      </c>
      <c r="F24" s="117" t="s">
        <v>267</v>
      </c>
      <c r="G24" s="117" t="s">
        <v>267</v>
      </c>
      <c r="H24" s="117" t="s">
        <v>267</v>
      </c>
      <c r="I24" s="244" t="s">
        <v>496</v>
      </c>
    </row>
    <row r="25" spans="1:9" ht="73.5" customHeight="1" thickBot="1" x14ac:dyDescent="0.25">
      <c r="C25" s="225"/>
      <c r="D25" s="218"/>
      <c r="E25" s="125" t="s">
        <v>491</v>
      </c>
      <c r="F25" s="57" t="s">
        <v>491</v>
      </c>
      <c r="G25" s="57" t="s">
        <v>491</v>
      </c>
      <c r="H25" s="57" t="s">
        <v>491</v>
      </c>
      <c r="I25" s="245"/>
    </row>
    <row r="26" spans="1:9" ht="17" thickTop="1" x14ac:dyDescent="0.2">
      <c r="C26" s="58"/>
      <c r="D26" s="236" t="s">
        <v>488</v>
      </c>
      <c r="E26" s="240"/>
      <c r="F26" s="226" t="s">
        <v>595</v>
      </c>
      <c r="G26" s="226"/>
      <c r="H26" s="221" t="s">
        <v>353</v>
      </c>
      <c r="I26" s="222"/>
    </row>
    <row r="27" spans="1:9" x14ac:dyDescent="0.2">
      <c r="C27" s="58"/>
      <c r="D27" s="237"/>
      <c r="E27" s="241"/>
      <c r="F27" s="227"/>
      <c r="G27" s="227"/>
      <c r="H27" s="67" t="s">
        <v>463</v>
      </c>
      <c r="I27" s="139" t="str">
        <f>Resultaat!B16</f>
        <v/>
      </c>
    </row>
    <row r="28" spans="1:9" x14ac:dyDescent="0.2">
      <c r="C28" s="58"/>
      <c r="D28" s="238"/>
      <c r="E28" s="242"/>
      <c r="F28" s="228"/>
      <c r="G28" s="228"/>
      <c r="H28" s="114" t="s">
        <v>351</v>
      </c>
      <c r="I28" s="140"/>
    </row>
    <row r="29" spans="1:9" x14ac:dyDescent="0.2">
      <c r="C29" s="58"/>
      <c r="D29" s="238"/>
      <c r="E29" s="242"/>
      <c r="F29" s="228"/>
      <c r="G29" s="228"/>
      <c r="H29" s="97" t="s">
        <v>454</v>
      </c>
      <c r="I29" s="62"/>
    </row>
    <row r="30" spans="1:9" x14ac:dyDescent="0.2">
      <c r="C30" s="58"/>
      <c r="D30" s="238"/>
      <c r="E30" s="242"/>
      <c r="F30" s="228"/>
      <c r="G30" s="228"/>
      <c r="H30" s="68" t="s">
        <v>345</v>
      </c>
      <c r="I30" s="62"/>
    </row>
    <row r="31" spans="1:9" ht="17" thickBot="1" x14ac:dyDescent="0.25">
      <c r="C31" s="58"/>
      <c r="D31" s="238"/>
      <c r="E31" s="242"/>
      <c r="F31" s="228"/>
      <c r="G31" s="228"/>
      <c r="H31" s="115" t="s">
        <v>489</v>
      </c>
      <c r="I31" s="126"/>
    </row>
    <row r="32" spans="1:9" ht="17" thickBot="1" x14ac:dyDescent="0.25">
      <c r="C32" s="58"/>
      <c r="D32" s="239"/>
      <c r="E32" s="243"/>
      <c r="F32" s="229"/>
      <c r="G32" s="229"/>
      <c r="H32" s="221" t="s">
        <v>526</v>
      </c>
      <c r="I32" s="222"/>
    </row>
    <row r="33" spans="3:9" ht="112.75" customHeight="1" thickTop="1" thickBot="1" x14ac:dyDescent="0.25">
      <c r="C33" s="58"/>
      <c r="D33" s="58"/>
      <c r="E33" s="58"/>
      <c r="F33" s="58"/>
      <c r="G33" s="58"/>
      <c r="H33" s="249" t="s">
        <v>526</v>
      </c>
      <c r="I33" s="250"/>
    </row>
    <row r="34" spans="3:9" ht="31.25" customHeight="1" x14ac:dyDescent="0.2">
      <c r="C34" s="58"/>
      <c r="D34" s="58"/>
      <c r="E34" s="58"/>
      <c r="F34" s="58"/>
      <c r="G34" s="58"/>
      <c r="H34" s="215" t="s">
        <v>532</v>
      </c>
      <c r="I34" s="216"/>
    </row>
    <row r="35" spans="3:9" x14ac:dyDescent="0.2">
      <c r="C35" s="58"/>
      <c r="D35" s="58"/>
      <c r="E35" s="58"/>
      <c r="F35" s="58"/>
      <c r="G35" s="58"/>
      <c r="H35" s="149" t="s">
        <v>531</v>
      </c>
      <c r="I35" s="59"/>
    </row>
    <row r="36" spans="3:9" ht="122.5" customHeight="1" x14ac:dyDescent="0.2">
      <c r="C36" s="58"/>
      <c r="D36" s="58"/>
      <c r="E36" s="58"/>
      <c r="F36" s="58"/>
      <c r="G36" s="58"/>
      <c r="H36" s="212" t="s">
        <v>533</v>
      </c>
      <c r="I36" s="213"/>
    </row>
    <row r="37" spans="3:9" ht="17" thickBot="1" x14ac:dyDescent="0.25">
      <c r="C37" s="58"/>
      <c r="D37" s="58"/>
      <c r="E37" s="58"/>
      <c r="F37" s="58"/>
      <c r="G37" s="58"/>
      <c r="H37" s="150" t="s">
        <v>537</v>
      </c>
      <c r="I37" s="63"/>
    </row>
  </sheetData>
  <sheetProtection algorithmName="SHA-512" hashValue="CS2ziTNudFvU6Esc9tqYVlnE05UiCZTAra3Xl7OhyTqmwk/ozMhk/sgBmvxZcUFYNhrOApmdhCXRs2qxW0TrUQ==" saltValue="9pIbJWZTin2TYAlq1/PT6w==" spinCount="100000" sheet="1" formatColumns="0" formatRows="0" insertHyperlinks="0" deleteRows="0"/>
  <protectedRanges>
    <protectedRange sqref="H2:H5 H9 I28:I31 I35:I37 H33" name="Algemene gegevens 3"/>
    <protectedRange sqref="F2:F5" name="Algemene gegevens 2"/>
    <protectedRange sqref="D2:D5" name="Algemene gegevens 1"/>
    <protectedRange sqref="C18:C25" name="Beroepstaak"/>
    <protectedRange sqref="E9:H25" name="Beoordeling"/>
    <protectedRange sqref="E26:G32" name="overige opmerkingen"/>
    <protectedRange sqref="I10:I25" name="Beoordeling_1"/>
  </protectedRanges>
  <dataConsolidate/>
  <mergeCells count="37">
    <mergeCell ref="H33:I33"/>
    <mergeCell ref="I18:I19"/>
    <mergeCell ref="I20:I21"/>
    <mergeCell ref="I22:I23"/>
    <mergeCell ref="I24:I25"/>
    <mergeCell ref="I10:I11"/>
    <mergeCell ref="I12:I13"/>
    <mergeCell ref="I14:I15"/>
    <mergeCell ref="I16:I17"/>
    <mergeCell ref="B10:B17"/>
    <mergeCell ref="D26:D32"/>
    <mergeCell ref="E26:E32"/>
    <mergeCell ref="C20:C21"/>
    <mergeCell ref="D20:D21"/>
    <mergeCell ref="G26:G32"/>
    <mergeCell ref="C6:H7"/>
    <mergeCell ref="D14:D15"/>
    <mergeCell ref="D16:D17"/>
    <mergeCell ref="D18:D19"/>
    <mergeCell ref="C16:C17"/>
    <mergeCell ref="C18:C19"/>
    <mergeCell ref="H36:I36"/>
    <mergeCell ref="C1:H1"/>
    <mergeCell ref="H34:I34"/>
    <mergeCell ref="D10:D11"/>
    <mergeCell ref="D12:D13"/>
    <mergeCell ref="C8:D8"/>
    <mergeCell ref="C14:C15"/>
    <mergeCell ref="C10:C11"/>
    <mergeCell ref="C12:C13"/>
    <mergeCell ref="H26:I26"/>
    <mergeCell ref="H32:I32"/>
    <mergeCell ref="C22:C23"/>
    <mergeCell ref="C24:C25"/>
    <mergeCell ref="D22:D23"/>
    <mergeCell ref="D24:D25"/>
    <mergeCell ref="F26:F32"/>
  </mergeCells>
  <phoneticPr fontId="37" type="noConversion"/>
  <conditionalFormatting sqref="C18:C25">
    <cfRule type="containsText" dxfId="91" priority="153" operator="containsText" text=" -- Selecteer beroepstaak --">
      <formula>NOT(ISERROR(SEARCH(" -- Selecteer beroepstaak --",C18)))</formula>
    </cfRule>
  </conditionalFormatting>
  <conditionalFormatting sqref="E5">
    <cfRule type="containsText" dxfId="90" priority="154" operator="containsText" text=" -- Keuze --">
      <formula>NOT(ISERROR(SEARCH(" -- Keuze --",E5)))</formula>
    </cfRule>
    <cfRule type="containsText" dxfId="89" priority="155" operator="containsText" text=" -- Keuze --">
      <formula>NOT(ISERROR(SEARCH(" -- Keuze --",E5)))</formula>
    </cfRule>
    <cfRule type="cellIs" dxfId="88" priority="157" operator="equal">
      <formula>"""-- Keuze --"</formula>
    </cfRule>
  </conditionalFormatting>
  <conditionalFormatting sqref="H26:H37">
    <cfRule type="containsText" dxfId="87" priority="136" operator="containsText" text=" -- Keuze --">
      <formula>NOT(ISERROR(SEARCH(" -- Keuze --",H26)))</formula>
    </cfRule>
    <cfRule type="cellIs" dxfId="86" priority="137" operator="equal">
      <formula>"""-- Keuze --"</formula>
    </cfRule>
  </conditionalFormatting>
  <pageMargins left="0.25" right="0.25"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DDD3C0F8-BB05-481C-8F85-AAE98D1BA309}">
            <xm:f>Admin!$E$7</xm:f>
            <x14:dxf>
              <fill>
                <patternFill>
                  <bgColor theme="7" tint="0.59996337778862885"/>
                </patternFill>
              </fill>
            </x14:dxf>
          </x14:cfRule>
          <x14:cfRule type="cellIs" priority="2" operator="equal" id="{C221B4CF-84B3-439B-AC39-70DD5874D414}">
            <xm:f>Admin!$E$10</xm:f>
            <x14:dxf>
              <fill>
                <patternFill>
                  <bgColor theme="8" tint="0.39994506668294322"/>
                </patternFill>
              </fill>
            </x14:dxf>
          </x14:cfRule>
          <x14:cfRule type="cellIs" priority="9" operator="equal" id="{CEB9D506-F52A-4C65-B86D-2109C96D60F6}">
            <xm:f>Admin!$E$4</xm:f>
            <x14:dxf>
              <fill>
                <patternFill>
                  <bgColor theme="8" tint="0.79998168889431442"/>
                </patternFill>
              </fill>
            </x14:dxf>
          </x14:cfRule>
          <x14:cfRule type="cellIs" priority="10" operator="equal" id="{C4D34C29-CAFE-4BCC-A335-0FFA815F9CF1}">
            <xm:f>Resultaat!$A$2</xm:f>
            <x14:dxf>
              <font>
                <b/>
                <i val="0"/>
                <strike val="0"/>
                <color theme="0"/>
              </font>
              <fill>
                <patternFill>
                  <bgColor rgb="FF00B050"/>
                </patternFill>
              </fill>
            </x14:dxf>
          </x14:cfRule>
          <x14:cfRule type="cellIs" priority="11" operator="equal" id="{71D05AA2-C1EA-4870-9F75-7D993C922AD6}">
            <xm:f>Resultaat!$A$3</xm:f>
            <x14:dxf>
              <fill>
                <patternFill>
                  <bgColor theme="9" tint="0.59996337778862885"/>
                </patternFill>
              </fill>
            </x14:dxf>
          </x14:cfRule>
          <x14:cfRule type="cellIs" priority="12" operator="equal" id="{567DFF9C-6AFC-4FE1-AD2D-E69795CCF8FB}">
            <xm:f>Resultaat!$A$4</xm:f>
            <x14:dxf>
              <fill>
                <patternFill>
                  <bgColor rgb="FFFFAFAF"/>
                </patternFill>
              </fill>
            </x14:dxf>
          </x14:cfRule>
          <x14:cfRule type="cellIs" priority="13" operator="equal" id="{CF53E725-1B22-4A81-AA7E-224B4326B1D7}">
            <xm:f>Resultaat!$A$5</xm:f>
            <x14:dxf>
              <fill>
                <patternFill>
                  <bgColor theme="8" tint="0.39994506668294322"/>
                </patternFill>
              </fill>
            </x14:dxf>
          </x14:cfRule>
          <x14:cfRule type="cellIs" priority="14" operator="equal" id="{2A6071FB-8D6C-43D3-B4EA-6CA1E74554BB}">
            <xm:f>Resultaat!$A$6</xm:f>
            <x14:dxf>
              <font>
                <color theme="0"/>
              </font>
              <fill>
                <patternFill>
                  <bgColor rgb="FFFF0000"/>
                </patternFill>
              </fill>
            </x14:dxf>
          </x14:cfRule>
          <xm:sqref>A1:I32 A33:H33 A34:I35 A36:H36 A37:I1048576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Admin!$I$4:$I$9</xm:f>
          </x14:formula1>
          <xm:sqref>F4</xm:sqref>
        </x14:dataValidation>
        <x14:dataValidation type="list" allowBlank="1" showInputMessage="1" showErrorMessage="1" xr:uid="{00000000-0002-0000-0000-000001000000}">
          <x14:formula1>
            <xm:f>Admin!$C$4:$C$35</xm:f>
          </x14:formula1>
          <xm:sqref>C22 C18 C20 C24</xm:sqref>
        </x14:dataValidation>
        <x14:dataValidation type="list" allowBlank="1" showInputMessage="1" showErrorMessage="1" xr:uid="{00000000-0002-0000-0000-000002000000}">
          <x14:formula1>
            <xm:f>Admin!$O$4:$O$7</xm:f>
          </x14:formula1>
          <xm:sqref>I29:I30</xm:sqref>
        </x14:dataValidation>
        <x14:dataValidation type="list" allowBlank="1" showInputMessage="1" showErrorMessage="1" xr:uid="{00000000-0002-0000-0000-000003000000}">
          <x14:formula1>
            <xm:f>Admin!$G$4:$G$16</xm:f>
          </x14:formula1>
          <xm:sqref>F5</xm:sqref>
        </x14:dataValidation>
        <x14:dataValidation type="list" allowBlank="1" showInputMessage="1" showErrorMessage="1" xr:uid="{00000000-0002-0000-0000-000004000000}">
          <x14:formula1>
            <xm:f>Resultaat!$A$1:$A$6</xm:f>
          </x14:formula1>
          <xm:sqref>I10:I25</xm:sqref>
        </x14:dataValidation>
        <x14:dataValidation type="list" allowBlank="1" showInputMessage="1" showErrorMessage="1" xr:uid="{00000000-0002-0000-0000-000005000000}">
          <x14:formula1>
            <xm:f>Admin!$E$4:$E$10</xm:f>
          </x14:formula1>
          <xm:sqref>E22:H22 E10:H10 E18:H18 E20:H20 E16:H16 E14:H14 E12:H12 E24:H24</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pageSetUpPr fitToPage="1"/>
  </sheetPr>
  <dimension ref="A1:EJ34"/>
  <sheetViews>
    <sheetView workbookViewId="0">
      <selection activeCell="D2" sqref="D2"/>
    </sheetView>
  </sheetViews>
  <sheetFormatPr baseColWidth="10" defaultColWidth="9" defaultRowHeight="16" x14ac:dyDescent="0.2"/>
  <cols>
    <col min="1" max="2" width="2.33203125" style="50" customWidth="1"/>
    <col min="3" max="3" width="20.6640625" style="50" customWidth="1"/>
    <col min="4" max="4" width="45.6640625" style="50" customWidth="1"/>
    <col min="5" max="5" width="38.5" style="50" customWidth="1"/>
    <col min="6" max="6" width="39.1640625" style="50" customWidth="1"/>
    <col min="7" max="7" width="10.1640625" style="50" customWidth="1"/>
    <col min="8" max="8" width="9" style="50"/>
    <col min="9" max="12" width="9" style="50" hidden="1" customWidth="1"/>
    <col min="13" max="13" width="22.1640625" style="50" hidden="1" customWidth="1"/>
    <col min="14" max="16" width="9" style="50" hidden="1" customWidth="1"/>
    <col min="17" max="46" width="9" style="50"/>
  </cols>
  <sheetData>
    <row r="1" spans="2:19" s="50" customFormat="1" ht="17" thickBot="1" x14ac:dyDescent="0.25">
      <c r="C1" s="54" t="str">
        <f>'Fase 1-3'!C1</f>
        <v>H B O - I C T   B E O O R D E L I N G S F O R M U L I E R   A F S T U D E R E N</v>
      </c>
      <c r="D1" s="54"/>
      <c r="E1" s="54"/>
      <c r="F1" s="54"/>
      <c r="I1" s="50" t="s">
        <v>267</v>
      </c>
      <c r="L1" s="50" t="s">
        <v>455</v>
      </c>
      <c r="M1" s="50">
        <f>IF(E9=$I$1,"",IF(E9=$I$2,$J$2,IF(E9=$I$3,$J$3,IF(E9=$I$4,$J$4,IF(E9=$I$5,$J$5,IF(E9=$I$6,$J$6,))))))</f>
        <v>0</v>
      </c>
      <c r="O1" s="50">
        <v>5</v>
      </c>
      <c r="P1" s="99" t="s">
        <v>486</v>
      </c>
      <c r="S1" s="99"/>
    </row>
    <row r="2" spans="2:19" ht="13.5" customHeight="1" x14ac:dyDescent="0.2">
      <c r="C2" s="111" t="s">
        <v>231</v>
      </c>
      <c r="D2" s="142" t="str">
        <f>'Fase 1-3'!D2</f>
        <v>William van der Meijden</v>
      </c>
      <c r="E2" s="108" t="s">
        <v>333</v>
      </c>
      <c r="F2" s="91" t="str">
        <f>'Fase 1-3'!F2</f>
        <v>Reinier van Reenen</v>
      </c>
      <c r="I2" s="50" t="s">
        <v>340</v>
      </c>
      <c r="J2" s="50">
        <v>5</v>
      </c>
      <c r="L2" s="50" t="s">
        <v>456</v>
      </c>
      <c r="M2" s="50">
        <f>IF(E11=$I$1,"",IF(E11=$I$2,$J$2,IF(E11=$I$3,$J$3,IF(E11=$I$4,$J$4,IF(E11=$I$5,$J$5,IF(E11=$I$6,$J$6,))))))</f>
        <v>0</v>
      </c>
      <c r="O2" s="50">
        <v>4.5</v>
      </c>
      <c r="P2" s="99" t="s">
        <v>485</v>
      </c>
      <c r="S2" s="99"/>
    </row>
    <row r="3" spans="2:19" ht="13.5" customHeight="1" thickBot="1" x14ac:dyDescent="0.25">
      <c r="C3" s="110" t="s">
        <v>346</v>
      </c>
      <c r="D3" s="143" t="str">
        <f>'Fase 1-3'!D3</f>
        <v>19137400</v>
      </c>
      <c r="E3" s="112" t="s">
        <v>406</v>
      </c>
      <c r="F3" s="92" t="str">
        <f>'Fase 1-3'!F3</f>
        <v>Sogeti</v>
      </c>
      <c r="I3" s="50" t="s">
        <v>341</v>
      </c>
      <c r="J3" s="50">
        <v>4</v>
      </c>
      <c r="L3" s="50" t="s">
        <v>457</v>
      </c>
      <c r="M3" s="50">
        <f>IF(E13=$I$1,"",IF(E13=$I$2,$J$2,IF(E13=$I$3,$J$3,IF(E13=$I$4,$J$4,IF(E13=$I$5,$J$5,IF(E13=$I$6,$J$6,))))))</f>
        <v>0</v>
      </c>
      <c r="O3" s="50">
        <v>4</v>
      </c>
      <c r="P3" s="99" t="s">
        <v>487</v>
      </c>
      <c r="S3" s="99"/>
    </row>
    <row r="4" spans="2:19" ht="13.5" customHeight="1" thickBot="1" x14ac:dyDescent="0.25">
      <c r="C4" s="106" t="s">
        <v>454</v>
      </c>
      <c r="D4" s="144" t="str">
        <f>'Fase 1-3'!D4</f>
        <v>Klaas Jan Mollema</v>
      </c>
      <c r="E4" s="108" t="s">
        <v>232</v>
      </c>
      <c r="F4" s="93" t="str">
        <f>'Fase 1-3'!F4</f>
        <v>ID</v>
      </c>
      <c r="I4" s="50" t="s">
        <v>342</v>
      </c>
      <c r="J4" s="50">
        <v>3</v>
      </c>
      <c r="L4" s="50" t="s">
        <v>458</v>
      </c>
      <c r="M4" s="50">
        <f>IF(E15=$I$1,"",IF(E15=$I$2,$J$2,IF(E15=$I$3,$J$3,IF(E15=$I$4,$J$4,IF(E15=$I$5,$J$5,IF(E15=$I$6,$J$6,))))))</f>
        <v>0</v>
      </c>
      <c r="O4" s="50">
        <v>3.5</v>
      </c>
      <c r="P4" s="99" t="s">
        <v>464</v>
      </c>
      <c r="S4" s="99"/>
    </row>
    <row r="5" spans="2:19" ht="13.5" customHeight="1" thickBot="1" x14ac:dyDescent="0.25">
      <c r="C5" s="107" t="s">
        <v>345</v>
      </c>
      <c r="D5" s="145" t="str">
        <f>'Fase 1-3'!D5</f>
        <v>Jelle Hijlarides</v>
      </c>
      <c r="E5" s="109" t="s">
        <v>334</v>
      </c>
      <c r="F5" s="93" t="str">
        <f>'Fase 1-3'!F5</f>
        <v>ID</v>
      </c>
      <c r="I5" s="50" t="s">
        <v>343</v>
      </c>
      <c r="J5" s="50">
        <v>2</v>
      </c>
      <c r="L5" s="50" t="s">
        <v>459</v>
      </c>
      <c r="M5" s="50">
        <f>IF(E17=$I$1,"",IF(E17=$I$2,$J$2,IF(E17=$I$3,$J$3,IF(E17=$I$4,$J$4,IF(E17=$I$5,$J$5,IF(E17=$I$6,$J$6,))))))</f>
        <v>0</v>
      </c>
      <c r="O5" s="50">
        <v>3</v>
      </c>
      <c r="P5" s="99" t="s">
        <v>466</v>
      </c>
      <c r="S5" s="99"/>
    </row>
    <row r="6" spans="2:19" ht="27" customHeight="1" thickBot="1" x14ac:dyDescent="0.25">
      <c r="C6" s="257"/>
      <c r="D6" s="258"/>
      <c r="E6" s="258"/>
      <c r="F6" s="259"/>
      <c r="I6" s="50" t="s">
        <v>492</v>
      </c>
      <c r="J6" s="50">
        <v>1</v>
      </c>
      <c r="L6" s="50" t="s">
        <v>460</v>
      </c>
      <c r="M6" s="50">
        <f>IF(E19=$I$1,"",IF(E19=$I$2,$J$2,IF(E19=$I$3,$J$3,IF(E19=$I$4,$J$4,IF(E19=$I$5,$J$5,IF(E19=$I$6,$J$6,))))))</f>
        <v>0</v>
      </c>
      <c r="O6" s="50">
        <v>2.5</v>
      </c>
      <c r="P6" s="99" t="s">
        <v>465</v>
      </c>
      <c r="S6" s="99"/>
    </row>
    <row r="7" spans="2:19" ht="12.75" customHeight="1" thickBot="1" x14ac:dyDescent="0.25">
      <c r="C7" s="262"/>
      <c r="D7" s="263"/>
      <c r="E7" s="260" t="s">
        <v>536</v>
      </c>
      <c r="F7" s="261"/>
      <c r="L7" s="50" t="s">
        <v>461</v>
      </c>
      <c r="M7" s="50">
        <f>IF(E21=$I$1,"",IF(E21=$I$2,$J$2,IF(E21=$I$3,$J$3,IF(E21=$I$4,$J$4,IF(E21=$I$5,$J$5,IF(E21=$I$6,$J$6,))))))</f>
        <v>0</v>
      </c>
      <c r="O7" s="50">
        <v>2</v>
      </c>
      <c r="P7" s="99" t="s">
        <v>467</v>
      </c>
      <c r="S7" s="99"/>
    </row>
    <row r="8" spans="2:19" ht="40.5" customHeight="1" thickBot="1" x14ac:dyDescent="0.25">
      <c r="C8" s="95" t="s">
        <v>317</v>
      </c>
      <c r="D8" s="94" t="s">
        <v>344</v>
      </c>
      <c r="E8" s="264" t="s">
        <v>350</v>
      </c>
      <c r="F8" s="265"/>
      <c r="L8" s="50" t="s">
        <v>462</v>
      </c>
      <c r="M8" s="50">
        <f>IF(E23=$I$1,"",IF(E23=$I$2,$J$2,IF(E23=$I$3,$J$3,IF(E23=$I$4,$J$4,IF(E23=$I$5,$J$5,IF(E23=$I$6,$J$6,))))))</f>
        <v>0</v>
      </c>
      <c r="O8" s="50">
        <v>1.5</v>
      </c>
      <c r="P8" s="99" t="s">
        <v>468</v>
      </c>
      <c r="S8" s="99"/>
    </row>
    <row r="9" spans="2:19" ht="15.75" customHeight="1" thickTop="1" x14ac:dyDescent="0.2">
      <c r="B9" s="246" t="s">
        <v>405</v>
      </c>
      <c r="C9" s="223" t="s">
        <v>234</v>
      </c>
      <c r="D9" s="255" t="str">
        <f>VLOOKUP(C9,Admin!$C:$D,2,FALSE)</f>
        <v>De student brengt helder in kaart waar, wanneer, voor wie en waarom welke problemen zich voordoen, wat de uitgangssituatie is, welke risico's er mogelijk zijn en welke (f)actoren daarbij een rol spelen.</v>
      </c>
      <c r="E9" s="253" t="s">
        <v>496</v>
      </c>
      <c r="F9" s="254"/>
      <c r="L9" s="50" t="s">
        <v>470</v>
      </c>
      <c r="M9" s="50">
        <f>MROUND(AVERAGE(M1:M8),0.5)</f>
        <v>0</v>
      </c>
      <c r="O9" s="50">
        <v>1</v>
      </c>
      <c r="P9" s="99" t="s">
        <v>469</v>
      </c>
      <c r="S9" s="99"/>
    </row>
    <row r="10" spans="2:19" ht="81.75" customHeight="1" thickBot="1" x14ac:dyDescent="0.25">
      <c r="B10" s="247"/>
      <c r="C10" s="225"/>
      <c r="D10" s="256"/>
      <c r="E10" s="251" t="s">
        <v>483</v>
      </c>
      <c r="F10" s="252"/>
      <c r="L10" s="50" t="s">
        <v>471</v>
      </c>
      <c r="M10" s="50" t="e">
        <f>IF(VLOOKUP($M$9,$O$1:$P$9,2,FALSE)=0,0,VLOOKUP($M$9,$O$1:$P$9,2,FALSE))</f>
        <v>#N/A</v>
      </c>
    </row>
    <row r="11" spans="2:19" ht="18" customHeight="1" x14ac:dyDescent="0.2">
      <c r="B11" s="247"/>
      <c r="C11" s="223" t="s">
        <v>484</v>
      </c>
      <c r="D11" s="255" t="str">
        <f>VLOOKUP(C11,Admin!$C:$D,2,FALSE)</f>
        <v>De student communiceert, schriftelijk en mondeling, op zelfbewuste, strategische en adequate wijze aan een doelgroep gerelateerde boodschappen richting individuen en kleine en grote groepen</v>
      </c>
      <c r="E11" s="253" t="s">
        <v>496</v>
      </c>
      <c r="F11" s="254"/>
    </row>
    <row r="12" spans="2:19" ht="70.5" customHeight="1" thickBot="1" x14ac:dyDescent="0.25">
      <c r="B12" s="247"/>
      <c r="C12" s="225"/>
      <c r="D12" s="256"/>
      <c r="E12" s="251" t="s">
        <v>483</v>
      </c>
      <c r="F12" s="252"/>
    </row>
    <row r="13" spans="2:19" ht="16.5" customHeight="1" x14ac:dyDescent="0.2">
      <c r="B13" s="247"/>
      <c r="C13" s="223" t="s">
        <v>262</v>
      </c>
      <c r="D13" s="255" t="str">
        <f>VLOOKUP(C13,Admin!$C:$D,2,FALSE)</f>
        <v>De student hanteert hoge kwaliteitsnormen voor anderen en zichzelf en stelt zichzelf vragen. Op zoek naar antwoorden hanteert de student gestandaardiseerde methoden/technieken/processen, en relevante en adequate argumentatie.</v>
      </c>
      <c r="E13" s="253" t="s">
        <v>496</v>
      </c>
      <c r="F13" s="254"/>
    </row>
    <row r="14" spans="2:19" ht="69" customHeight="1" thickBot="1" x14ac:dyDescent="0.25">
      <c r="B14" s="247"/>
      <c r="C14" s="225"/>
      <c r="D14" s="256"/>
      <c r="E14" s="251" t="s">
        <v>483</v>
      </c>
      <c r="F14" s="252"/>
    </row>
    <row r="15" spans="2:19" ht="18" customHeight="1" x14ac:dyDescent="0.2">
      <c r="B15" s="247"/>
      <c r="C15" s="223" t="s">
        <v>265</v>
      </c>
      <c r="D15" s="255" t="str">
        <f>VLOOKUP(C15,Admin!$C:$D,2,FALSE)</f>
        <v>De student is in staat het eigen leerproces vorm te geven waarbij voorbereid wordt op life-long-learning.</v>
      </c>
      <c r="E15" s="253" t="s">
        <v>496</v>
      </c>
      <c r="F15" s="254"/>
    </row>
    <row r="16" spans="2:19" ht="67.5" customHeight="1" thickBot="1" x14ac:dyDescent="0.25">
      <c r="B16" s="248"/>
      <c r="C16" s="225"/>
      <c r="D16" s="256"/>
      <c r="E16" s="251" t="s">
        <v>483</v>
      </c>
      <c r="F16" s="252"/>
    </row>
    <row r="17" spans="3:140" ht="15.75" customHeight="1" thickTop="1" x14ac:dyDescent="0.2">
      <c r="C17" s="223" t="s">
        <v>278</v>
      </c>
      <c r="D17" s="255" t="str">
        <f>VLOOKUP(C17,Admin!$C:$D,2,FALSE)</f>
        <v/>
      </c>
      <c r="E17" s="253" t="s">
        <v>496</v>
      </c>
      <c r="F17" s="254"/>
    </row>
    <row r="18" spans="3:140" ht="51" customHeight="1" thickBot="1" x14ac:dyDescent="0.25">
      <c r="C18" s="225"/>
      <c r="D18" s="256"/>
      <c r="E18" s="251" t="s">
        <v>483</v>
      </c>
      <c r="F18" s="252"/>
    </row>
    <row r="19" spans="3:140" ht="15.75" customHeight="1" x14ac:dyDescent="0.2">
      <c r="C19" s="223" t="s">
        <v>278</v>
      </c>
      <c r="D19" s="255" t="str">
        <f>VLOOKUP(C19,Admin!$C:$D,2,FALSE)</f>
        <v/>
      </c>
      <c r="E19" s="253" t="s">
        <v>496</v>
      </c>
      <c r="F19" s="254"/>
    </row>
    <row r="20" spans="3:140" ht="63" customHeight="1" thickBot="1" x14ac:dyDescent="0.25">
      <c r="C20" s="225"/>
      <c r="D20" s="256"/>
      <c r="E20" s="251" t="s">
        <v>483</v>
      </c>
      <c r="F20" s="252"/>
    </row>
    <row r="21" spans="3:140" ht="15" customHeight="1" x14ac:dyDescent="0.2">
      <c r="C21" s="223" t="s">
        <v>278</v>
      </c>
      <c r="D21" s="255" t="str">
        <f>VLOOKUP(C21,Admin!$C:$D,2,FALSE)</f>
        <v/>
      </c>
      <c r="E21" s="253" t="s">
        <v>496</v>
      </c>
      <c r="F21" s="254"/>
    </row>
    <row r="22" spans="3:140" ht="58.5" customHeight="1" thickBot="1" x14ac:dyDescent="0.25">
      <c r="C22" s="225"/>
      <c r="D22" s="256"/>
      <c r="E22" s="251" t="s">
        <v>483</v>
      </c>
      <c r="F22" s="252"/>
    </row>
    <row r="23" spans="3:140" ht="15.75" customHeight="1" x14ac:dyDescent="0.2">
      <c r="C23" s="223" t="s">
        <v>278</v>
      </c>
      <c r="D23" s="255" t="str">
        <f>VLOOKUP(C23,Admin!$C:$D,2,FALSE)</f>
        <v/>
      </c>
      <c r="E23" s="253" t="s">
        <v>496</v>
      </c>
      <c r="F23" s="254"/>
    </row>
    <row r="24" spans="3:140" s="50" customFormat="1" ht="78" customHeight="1" thickBot="1" x14ac:dyDescent="0.25">
      <c r="C24" s="225"/>
      <c r="D24" s="256"/>
      <c r="E24" s="251" t="s">
        <v>483</v>
      </c>
      <c r="F24" s="252"/>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row>
    <row r="25" spans="3:140" s="50" customFormat="1" ht="9" customHeight="1" thickBot="1" x14ac:dyDescent="0.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row>
    <row r="26" spans="3:140" s="50" customFormat="1" x14ac:dyDescent="0.2">
      <c r="E26" s="266" t="s">
        <v>353</v>
      </c>
      <c r="F26" s="267"/>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row>
    <row r="27" spans="3:140" s="50" customFormat="1" x14ac:dyDescent="0.2">
      <c r="E27" s="51" t="s">
        <v>472</v>
      </c>
      <c r="F27" s="100" t="str">
        <f>her!B16</f>
        <v/>
      </c>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row>
    <row r="28" spans="3:140" s="50" customFormat="1" x14ac:dyDescent="0.2">
      <c r="E28" s="51" t="s">
        <v>351</v>
      </c>
      <c r="F28" s="56"/>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row>
    <row r="29" spans="3:140" s="50" customFormat="1" x14ac:dyDescent="0.2">
      <c r="E29" s="98" t="s">
        <v>454</v>
      </c>
      <c r="F29" s="62"/>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row>
    <row r="30" spans="3:140" s="50" customFormat="1" x14ac:dyDescent="0.2">
      <c r="E30" s="51" t="s">
        <v>345</v>
      </c>
      <c r="F30" s="62"/>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row>
    <row r="31" spans="3:140" s="50" customFormat="1" x14ac:dyDescent="0.2">
      <c r="E31" s="116" t="s">
        <v>489</v>
      </c>
      <c r="F31" s="53"/>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row>
    <row r="32" spans="3:140" s="50" customFormat="1" ht="17" thickBot="1" x14ac:dyDescent="0.25">
      <c r="E32" s="55" t="s">
        <v>352</v>
      </c>
      <c r="F32" s="5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row>
    <row r="33" spans="5:140" s="50" customFormat="1" x14ac:dyDescent="0.2">
      <c r="E33" s="266" t="s">
        <v>493</v>
      </c>
      <c r="F33" s="267"/>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row>
    <row r="34" spans="5:140" s="50" customFormat="1" ht="131.25" customHeight="1" thickBot="1" x14ac:dyDescent="0.25">
      <c r="E34" s="268"/>
      <c r="F34" s="269"/>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row>
  </sheetData>
  <sheetProtection algorithmName="SHA-512" hashValue="EI+hDNquhubK3SjWgiC606fL/lcYruOVfhyW5aOGZUmYp7PbiKEyfiBF8stZJV/kJd3QX/h9x6YepBVbtGPiWQ==" saltValue="JLEqLbo0tJ6X8HDtbWa73g==" spinCount="100000" sheet="1" formatColumns="0" formatRows="0"/>
  <protectedRanges>
    <protectedRange sqref="E8:F25" name="Beoordeling"/>
    <protectedRange sqref="C17:C25" name="Beroepstaak"/>
    <protectedRange sqref="D2:D5" name="Algemene gegevens 1"/>
    <protectedRange sqref="F2:F3" name="Algemene gegevens 2"/>
    <protectedRange sqref="E34 F26:F28 F31:F34" name="Algemene gegevens 3"/>
    <protectedRange sqref="F29:F30" name="Algemene gegevens 3_1"/>
  </protectedRanges>
  <mergeCells count="40">
    <mergeCell ref="C23:C24"/>
    <mergeCell ref="D23:D24"/>
    <mergeCell ref="E26:F26"/>
    <mergeCell ref="E34:F34"/>
    <mergeCell ref="E33:F33"/>
    <mergeCell ref="C17:C18"/>
    <mergeCell ref="D17:D18"/>
    <mergeCell ref="C19:C20"/>
    <mergeCell ref="D19:D20"/>
    <mergeCell ref="C21:C22"/>
    <mergeCell ref="D21:D22"/>
    <mergeCell ref="C9:C10"/>
    <mergeCell ref="D9:D10"/>
    <mergeCell ref="B9:B16"/>
    <mergeCell ref="C6:F6"/>
    <mergeCell ref="E7:F7"/>
    <mergeCell ref="C7:D7"/>
    <mergeCell ref="E8:F8"/>
    <mergeCell ref="E9:F9"/>
    <mergeCell ref="E10:F10"/>
    <mergeCell ref="E11:F11"/>
    <mergeCell ref="C11:C12"/>
    <mergeCell ref="D11:D12"/>
    <mergeCell ref="C13:C14"/>
    <mergeCell ref="D13:D14"/>
    <mergeCell ref="C15:C16"/>
    <mergeCell ref="D15:D16"/>
    <mergeCell ref="E12:F12"/>
    <mergeCell ref="E13:F13"/>
    <mergeCell ref="E14:F14"/>
    <mergeCell ref="E15:F15"/>
    <mergeCell ref="E16:F16"/>
    <mergeCell ref="E22:F22"/>
    <mergeCell ref="E23:F23"/>
    <mergeCell ref="E24:F24"/>
    <mergeCell ref="E17:F17"/>
    <mergeCell ref="E18:F18"/>
    <mergeCell ref="E19:F19"/>
    <mergeCell ref="E20:F20"/>
    <mergeCell ref="E21:F21"/>
  </mergeCells>
  <conditionalFormatting sqref="C17 C19 C21 C23">
    <cfRule type="containsText" dxfId="79" priority="177" operator="containsText" text=" -- Selecteer beroepstaak --">
      <formula>NOT(ISERROR(SEARCH(" -- Selecteer beroepstaak --",C17)))</formula>
    </cfRule>
  </conditionalFormatting>
  <conditionalFormatting sqref="E10">
    <cfRule type="cellIs" dxfId="78" priority="146" operator="equal">
      <formula>"""-- Keuze --"</formula>
    </cfRule>
    <cfRule type="containsText" dxfId="77" priority="144" operator="containsText" text=" -- Keuze --">
      <formula>NOT(ISERROR(SEARCH(" -- Keuze --",E10)))</formula>
    </cfRule>
    <cfRule type="containsText" dxfId="76" priority="145" operator="containsText" text=" -- Keuze --">
      <formula>NOT(ISERROR(SEARCH(" -- Keuze --",E10)))</formula>
    </cfRule>
  </conditionalFormatting>
  <conditionalFormatting sqref="E12">
    <cfRule type="containsText" dxfId="75" priority="141" operator="containsText" text=" -- Keuze --">
      <formula>NOT(ISERROR(SEARCH(" -- Keuze --",E12)))</formula>
    </cfRule>
    <cfRule type="cellIs" dxfId="74" priority="143" operator="equal">
      <formula>"""-- Keuze --"</formula>
    </cfRule>
    <cfRule type="containsText" dxfId="73" priority="142" operator="containsText" text=" -- Keuze --">
      <formula>NOT(ISERROR(SEARCH(" -- Keuze --",E12)))</formula>
    </cfRule>
  </conditionalFormatting>
  <conditionalFormatting sqref="E14">
    <cfRule type="cellIs" dxfId="72" priority="140" operator="equal">
      <formula>"""-- Keuze --"</formula>
    </cfRule>
    <cfRule type="containsText" dxfId="71" priority="139" operator="containsText" text=" -- Keuze --">
      <formula>NOT(ISERROR(SEARCH(" -- Keuze --",E14)))</formula>
    </cfRule>
    <cfRule type="containsText" dxfId="70" priority="138" operator="containsText" text=" -- Keuze --">
      <formula>NOT(ISERROR(SEARCH(" -- Keuze --",E14)))</formula>
    </cfRule>
  </conditionalFormatting>
  <conditionalFormatting sqref="E16">
    <cfRule type="cellIs" dxfId="69" priority="137" operator="equal">
      <formula>"""-- Keuze --"</formula>
    </cfRule>
    <cfRule type="containsText" dxfId="68" priority="136" operator="containsText" text=" -- Keuze --">
      <formula>NOT(ISERROR(SEARCH(" -- Keuze --",E16)))</formula>
    </cfRule>
    <cfRule type="containsText" dxfId="67" priority="135" operator="containsText" text=" -- Keuze --">
      <formula>NOT(ISERROR(SEARCH(" -- Keuze --",E16)))</formula>
    </cfRule>
  </conditionalFormatting>
  <conditionalFormatting sqref="E18">
    <cfRule type="cellIs" dxfId="66" priority="134" operator="equal">
      <formula>"""-- Keuze --"</formula>
    </cfRule>
    <cfRule type="containsText" dxfId="65" priority="133" operator="containsText" text=" -- Keuze --">
      <formula>NOT(ISERROR(SEARCH(" -- Keuze --",E18)))</formula>
    </cfRule>
    <cfRule type="containsText" dxfId="64" priority="132" operator="containsText" text=" -- Keuze --">
      <formula>NOT(ISERROR(SEARCH(" -- Keuze --",E18)))</formula>
    </cfRule>
  </conditionalFormatting>
  <conditionalFormatting sqref="E20">
    <cfRule type="cellIs" dxfId="63" priority="131" operator="equal">
      <formula>"""-- Keuze --"</formula>
    </cfRule>
    <cfRule type="containsText" dxfId="62" priority="129" operator="containsText" text=" -- Keuze --">
      <formula>NOT(ISERROR(SEARCH(" -- Keuze --",E20)))</formula>
    </cfRule>
    <cfRule type="containsText" dxfId="61" priority="130" operator="containsText" text=" -- Keuze --">
      <formula>NOT(ISERROR(SEARCH(" -- Keuze --",E20)))</formula>
    </cfRule>
  </conditionalFormatting>
  <conditionalFormatting sqref="E22">
    <cfRule type="containsText" dxfId="60" priority="126" operator="containsText" text=" -- Keuze --">
      <formula>NOT(ISERROR(SEARCH(" -- Keuze --",E22)))</formula>
    </cfRule>
    <cfRule type="containsText" dxfId="59" priority="127" operator="containsText" text=" -- Keuze --">
      <formula>NOT(ISERROR(SEARCH(" -- Keuze --",E22)))</formula>
    </cfRule>
    <cfRule type="cellIs" dxfId="58" priority="128" operator="equal">
      <formula>"""-- Keuze --"</formula>
    </cfRule>
  </conditionalFormatting>
  <conditionalFormatting sqref="E24">
    <cfRule type="containsText" dxfId="57" priority="123" operator="containsText" text=" -- Keuze --">
      <formula>NOT(ISERROR(SEARCH(" -- Keuze --",E24)))</formula>
    </cfRule>
    <cfRule type="cellIs" dxfId="56" priority="125" operator="equal">
      <formula>"""-- Keuze --"</formula>
    </cfRule>
    <cfRule type="containsText" dxfId="55" priority="124" operator="containsText" text=" -- Keuze --">
      <formula>NOT(ISERROR(SEARCH(" -- Keuze --",E24)))</formula>
    </cfRule>
  </conditionalFormatting>
  <conditionalFormatting sqref="E26:E30 E31:F31">
    <cfRule type="cellIs" dxfId="54" priority="158" operator="equal">
      <formula>"""-- Keuze --"</formula>
    </cfRule>
    <cfRule type="containsText" dxfId="53" priority="157" operator="containsText" text=" -- Keuze --">
      <formula>NOT(ISERROR(SEARCH(" -- Keuze --",E26)))</formula>
    </cfRule>
    <cfRule type="containsText" dxfId="52" priority="156" operator="containsText" text=" -- Keuze --">
      <formula>NOT(ISERROR(SEARCH(" -- Keuze --",E26)))</formula>
    </cfRule>
  </conditionalFormatting>
  <conditionalFormatting sqref="E32:E34">
    <cfRule type="cellIs" dxfId="51" priority="155" operator="equal">
      <formula>"""-- Keuze --"</formula>
    </cfRule>
    <cfRule type="containsText" dxfId="50" priority="153" operator="containsText" text=" -- Keuze --">
      <formula>NOT(ISERROR(SEARCH(" -- Keuze --",E32)))</formula>
    </cfRule>
    <cfRule type="containsText" dxfId="49" priority="154" operator="containsText" text=" -- Keuze --">
      <formula>NOT(ISERROR(SEARCH(" -- Keuze --",E32)))</formula>
    </cfRule>
  </conditionalFormatting>
  <conditionalFormatting sqref="E5:F5">
    <cfRule type="cellIs" dxfId="48" priority="180" operator="equal">
      <formula>"""-- Keuze --"</formula>
    </cfRule>
    <cfRule type="containsText" dxfId="47" priority="178" operator="containsText" text=" -- Keuze --">
      <formula>NOT(ISERROR(SEARCH(" -- Keuze --",E5)))</formula>
    </cfRule>
    <cfRule type="containsText" dxfId="46" priority="179" operator="containsText" text=" -- Keuze --">
      <formula>NOT(ISERROR(SEARCH(" -- Keuze --",E5)))</formula>
    </cfRule>
  </conditionalFormatting>
  <pageMargins left="0.25" right="0.25" top="0.75" bottom="0.75" header="0.3" footer="0.3"/>
  <extLst>
    <ext xmlns:x14="http://schemas.microsoft.com/office/spreadsheetml/2009/9/main" uri="{78C0D931-6437-407d-A8EE-F0AAD7539E65}">
      <x14:conditionalFormattings>
        <x14:conditionalFormatting xmlns:xm="http://schemas.microsoft.com/office/excel/2006/main">
          <x14:cfRule type="cellIs" priority="2" operator="equal" id="{62D3F42F-C2DE-4EEF-92F0-586F40AFAF58}">
            <xm:f>her!$A$2</xm:f>
            <x14:dxf>
              <font>
                <b/>
                <i val="0"/>
                <color theme="0"/>
              </font>
              <fill>
                <patternFill>
                  <bgColor rgb="FF00B050"/>
                </patternFill>
              </fill>
            </x14:dxf>
          </x14:cfRule>
          <x14:cfRule type="cellIs" priority="3" operator="equal" id="{10DA3891-5B31-4B8E-B752-77A4ECFD4634}">
            <xm:f>her!$A$3</xm:f>
            <x14:dxf>
              <fill>
                <patternFill>
                  <bgColor theme="9" tint="0.59996337778862885"/>
                </patternFill>
              </fill>
            </x14:dxf>
          </x14:cfRule>
          <x14:cfRule type="cellIs" priority="4" operator="equal" id="{AC860E55-4224-4779-A52A-40E8A948007E}">
            <xm:f>her!$A$4</xm:f>
            <x14:dxf>
              <fill>
                <patternFill>
                  <bgColor rgb="FFFFC5C5"/>
                </patternFill>
              </fill>
            </x14:dxf>
          </x14:cfRule>
          <x14:cfRule type="cellIs" priority="5" operator="equal" id="{30801A79-5381-4195-AF16-5BB3D123CECF}">
            <xm:f>her!$A$5</xm:f>
            <x14:dxf>
              <fill>
                <patternFill>
                  <bgColor theme="8" tint="0.39994506668294322"/>
                </patternFill>
              </fill>
            </x14:dxf>
          </x14:cfRule>
          <x14:cfRule type="cellIs" priority="6" operator="equal" id="{50B1D42C-1DE8-4FE9-9322-AAA1A1B2EA4E}">
            <xm:f>her!$A$6</xm:f>
            <x14:dxf>
              <font>
                <color theme="0"/>
              </font>
              <fill>
                <patternFill>
                  <bgColor rgb="FFFF0000"/>
                </patternFill>
              </fill>
            </x14:dxf>
          </x14:cfRule>
          <x14:cfRule type="cellIs" priority="1" operator="equal" id="{767C84A2-B7F3-4BE8-B3B9-50B21F4F89D9}">
            <xm:f>her!$A$1</xm:f>
            <x14:dxf>
              <fill>
                <patternFill>
                  <bgColor theme="8" tint="0.79998168889431442"/>
                </patternFill>
              </fill>
            </x14:dxf>
          </x14:cfRule>
          <xm:sqref>A1:F1048576</xm:sqref>
        </x14:conditionalFormatting>
        <x14:conditionalFormatting xmlns:xm="http://schemas.microsoft.com/office/excel/2006/main">
          <x14:cfRule type="cellIs" priority="10" operator="equal" id="{65628C21-4F91-47B4-BA97-5DE9F109EC55}">
            <xm:f>her!$A$4</xm:f>
            <x14:dxf>
              <fill>
                <patternFill>
                  <bgColor theme="5" tint="0.79998168889431442"/>
                </patternFill>
              </fill>
            </x14:dxf>
          </x14:cfRule>
          <x14:cfRule type="cellIs" priority="7" operator="equal" id="{35B0D14F-3C76-418C-A01F-9933BA0BABF5}">
            <xm:f>her!$A$1</xm:f>
            <x14:dxf>
              <fill>
                <patternFill>
                  <bgColor theme="8" tint="0.79998168889431442"/>
                </patternFill>
              </fill>
            </x14:dxf>
          </x14:cfRule>
          <x14:cfRule type="cellIs" priority="8" operator="equal" id="{B13D843F-F01F-432B-AE9F-5F069128BFB1}">
            <xm:f>her!$A$2</xm:f>
            <x14:dxf>
              <fill>
                <patternFill>
                  <bgColor rgb="FF00B050"/>
                </patternFill>
              </fill>
            </x14:dxf>
          </x14:cfRule>
          <x14:cfRule type="cellIs" priority="11" operator="equal" id="{E707A8E0-6019-4A6F-B78F-4D0BC5B50C65}">
            <xm:f>her!$A$5</xm:f>
            <x14:dxf>
              <fill>
                <patternFill>
                  <bgColor rgb="FF00B0F0"/>
                </patternFill>
              </fill>
            </x14:dxf>
          </x14:cfRule>
          <x14:cfRule type="cellIs" priority="12" operator="equal" id="{F03B5772-437E-4084-A6E8-C80D6363F3A4}">
            <xm:f>her!$A$6</xm:f>
            <x14:dxf>
              <font>
                <color theme="0"/>
              </font>
              <fill>
                <patternFill>
                  <bgColor rgb="FFFF0000"/>
                </patternFill>
              </fill>
            </x14:dxf>
          </x14:cfRule>
          <x14:cfRule type="cellIs" priority="9" operator="equal" id="{C8A5FC60-CEC1-4E0D-8BB2-7436C244CE8A}">
            <xm:f>her!$A$3</xm:f>
            <x14:dxf>
              <fill>
                <patternFill>
                  <bgColor rgb="FF92D050"/>
                </patternFill>
              </fill>
            </x14:dxf>
          </x14:cfRule>
          <xm:sqref>E11:F11</xm:sqref>
        </x14:conditionalFormatting>
        <x14:conditionalFormatting xmlns:xm="http://schemas.microsoft.com/office/excel/2006/main">
          <x14:cfRule type="cellIs" priority="13" operator="equal" id="{45C23680-D5A6-47F6-8F58-705EF829515E}">
            <xm:f>her!$A$1</xm:f>
            <x14:dxf>
              <fill>
                <patternFill>
                  <bgColor theme="8" tint="0.79998168889431442"/>
                </patternFill>
              </fill>
            </x14:dxf>
          </x14:cfRule>
          <x14:cfRule type="cellIs" priority="14" operator="equal" id="{2823CD2C-F13F-4CEB-8545-F875FF772AE5}">
            <xm:f>her!$A$2</xm:f>
            <x14:dxf>
              <fill>
                <patternFill>
                  <bgColor rgb="FF00B050"/>
                </patternFill>
              </fill>
            </x14:dxf>
          </x14:cfRule>
          <x14:cfRule type="cellIs" priority="15" operator="equal" id="{F9A1219F-55A3-4552-8333-40E217DB0A6C}">
            <xm:f>her!$A$3</xm:f>
            <x14:dxf>
              <fill>
                <patternFill>
                  <bgColor rgb="FF92D050"/>
                </patternFill>
              </fill>
            </x14:dxf>
          </x14:cfRule>
          <x14:cfRule type="cellIs" priority="16" operator="equal" id="{261E7755-06D1-49F4-80A4-FED2234075E7}">
            <xm:f>her!$A$4</xm:f>
            <x14:dxf>
              <fill>
                <patternFill>
                  <bgColor theme="5" tint="0.79998168889431442"/>
                </patternFill>
              </fill>
            </x14:dxf>
          </x14:cfRule>
          <x14:cfRule type="cellIs" priority="17" operator="equal" id="{E1194948-0CBF-4633-8B6D-3753A94E3F63}">
            <xm:f>her!$A$5</xm:f>
            <x14:dxf>
              <fill>
                <patternFill>
                  <bgColor rgb="FF00B0F0"/>
                </patternFill>
              </fill>
            </x14:dxf>
          </x14:cfRule>
          <x14:cfRule type="cellIs" priority="18" operator="equal" id="{4E89105F-9F97-49BD-8B34-C3C7908C6BEC}">
            <xm:f>her!$A$6</xm:f>
            <x14:dxf>
              <font>
                <color theme="0"/>
              </font>
              <fill>
                <patternFill>
                  <bgColor rgb="FFFF0000"/>
                </patternFill>
              </fill>
            </x14:dxf>
          </x14:cfRule>
          <xm:sqref>E13:F13</xm:sqref>
        </x14:conditionalFormatting>
        <x14:conditionalFormatting xmlns:xm="http://schemas.microsoft.com/office/excel/2006/main">
          <x14:cfRule type="cellIs" priority="19" operator="equal" id="{38ACBF33-7507-4550-81D1-EE67CA0A8202}">
            <xm:f>her!$A$1</xm:f>
            <x14:dxf>
              <fill>
                <patternFill>
                  <bgColor theme="8" tint="0.79998168889431442"/>
                </patternFill>
              </fill>
            </x14:dxf>
          </x14:cfRule>
          <x14:cfRule type="cellIs" priority="20" operator="equal" id="{AE47F821-C8DC-4157-AD9D-FAA9A2F4D465}">
            <xm:f>her!$A$2</xm:f>
            <x14:dxf>
              <fill>
                <patternFill>
                  <bgColor rgb="FF00B050"/>
                </patternFill>
              </fill>
            </x14:dxf>
          </x14:cfRule>
          <x14:cfRule type="cellIs" priority="21" operator="equal" id="{2B54BE7B-7D1B-48FF-82B2-C28371622ECB}">
            <xm:f>her!$A$3</xm:f>
            <x14:dxf>
              <fill>
                <patternFill>
                  <bgColor rgb="FF92D050"/>
                </patternFill>
              </fill>
            </x14:dxf>
          </x14:cfRule>
          <x14:cfRule type="cellIs" priority="22" operator="equal" id="{243C90D4-6D9B-451F-866A-E8ED24877523}">
            <xm:f>her!$A$4</xm:f>
            <x14:dxf>
              <fill>
                <patternFill>
                  <bgColor theme="5" tint="0.79998168889431442"/>
                </patternFill>
              </fill>
            </x14:dxf>
          </x14:cfRule>
          <x14:cfRule type="cellIs" priority="23" operator="equal" id="{C5566C62-8E6E-4A42-9FDA-B6F3CA4C5290}">
            <xm:f>her!$A$5</xm:f>
            <x14:dxf>
              <fill>
                <patternFill>
                  <bgColor rgb="FF00B0F0"/>
                </patternFill>
              </fill>
            </x14:dxf>
          </x14:cfRule>
          <x14:cfRule type="cellIs" priority="24" operator="equal" id="{F0446109-B071-4CFE-962E-60EAB158A445}">
            <xm:f>her!$A$6</xm:f>
            <x14:dxf>
              <font>
                <color theme="0"/>
              </font>
              <fill>
                <patternFill>
                  <bgColor rgb="FFFF0000"/>
                </patternFill>
              </fill>
            </x14:dxf>
          </x14:cfRule>
          <xm:sqref>E15:F15</xm:sqref>
        </x14:conditionalFormatting>
        <x14:conditionalFormatting xmlns:xm="http://schemas.microsoft.com/office/excel/2006/main">
          <x14:cfRule type="cellIs" priority="27" operator="equal" id="{1A19460E-E11D-4100-BBFA-101EC2E6F619}">
            <xm:f>her!$A$3</xm:f>
            <x14:dxf>
              <fill>
                <patternFill>
                  <bgColor rgb="FF92D050"/>
                </patternFill>
              </fill>
            </x14:dxf>
          </x14:cfRule>
          <x14:cfRule type="cellIs" priority="26" operator="equal" id="{25E43E43-56F6-4097-8C7D-AB265126BF31}">
            <xm:f>her!$A$2</xm:f>
            <x14:dxf>
              <fill>
                <patternFill>
                  <bgColor rgb="FF00B050"/>
                </patternFill>
              </fill>
            </x14:dxf>
          </x14:cfRule>
          <x14:cfRule type="cellIs" priority="25" operator="equal" id="{826B5A99-0472-4F92-B62F-273E928A818A}">
            <xm:f>her!$A$1</xm:f>
            <x14:dxf>
              <fill>
                <patternFill>
                  <bgColor theme="8" tint="0.79998168889431442"/>
                </patternFill>
              </fill>
            </x14:dxf>
          </x14:cfRule>
          <x14:cfRule type="cellIs" priority="29" operator="equal" id="{1CF43D84-4F3B-4D11-9B8D-66C6D89A050C}">
            <xm:f>her!$A$5</xm:f>
            <x14:dxf>
              <fill>
                <patternFill>
                  <bgColor rgb="FF00B0F0"/>
                </patternFill>
              </fill>
            </x14:dxf>
          </x14:cfRule>
          <x14:cfRule type="cellIs" priority="30" operator="equal" id="{A0267124-F7D0-42C8-9143-F865D7659C79}">
            <xm:f>her!$A$6</xm:f>
            <x14:dxf>
              <font>
                <color theme="0"/>
              </font>
              <fill>
                <patternFill>
                  <bgColor rgb="FFFF0000"/>
                </patternFill>
              </fill>
            </x14:dxf>
          </x14:cfRule>
          <x14:cfRule type="cellIs" priority="28" operator="equal" id="{BE5D2632-F90B-4B29-A164-FCD03328F5A8}">
            <xm:f>her!$A$4</xm:f>
            <x14:dxf>
              <fill>
                <patternFill>
                  <bgColor theme="5" tint="0.79998168889431442"/>
                </patternFill>
              </fill>
            </x14:dxf>
          </x14:cfRule>
          <xm:sqref>E17:F17</xm:sqref>
        </x14:conditionalFormatting>
        <x14:conditionalFormatting xmlns:xm="http://schemas.microsoft.com/office/excel/2006/main">
          <x14:cfRule type="cellIs" priority="31" operator="equal" id="{1329CDD0-8C1C-4976-9143-4E0F83AD4C86}">
            <xm:f>her!$A$1</xm:f>
            <x14:dxf>
              <fill>
                <patternFill>
                  <bgColor theme="8" tint="0.79998168889431442"/>
                </patternFill>
              </fill>
            </x14:dxf>
          </x14:cfRule>
          <x14:cfRule type="cellIs" priority="32" operator="equal" id="{ACA64459-6D1A-4FF7-9C91-5321DFD6D859}">
            <xm:f>her!$A$2</xm:f>
            <x14:dxf>
              <fill>
                <patternFill>
                  <bgColor rgb="FF00B050"/>
                </patternFill>
              </fill>
            </x14:dxf>
          </x14:cfRule>
          <x14:cfRule type="cellIs" priority="33" operator="equal" id="{3A285D91-1065-4C28-9502-B80942CD9321}">
            <xm:f>her!$A$3</xm:f>
            <x14:dxf>
              <fill>
                <patternFill>
                  <bgColor rgb="FF92D050"/>
                </patternFill>
              </fill>
            </x14:dxf>
          </x14:cfRule>
          <x14:cfRule type="cellIs" priority="34" operator="equal" id="{3C10B229-273F-4222-87E6-A253827D3CFA}">
            <xm:f>her!$A$4</xm:f>
            <x14:dxf>
              <fill>
                <patternFill>
                  <bgColor theme="5" tint="0.79998168889431442"/>
                </patternFill>
              </fill>
            </x14:dxf>
          </x14:cfRule>
          <x14:cfRule type="cellIs" priority="35" operator="equal" id="{95E3AAB9-7BB9-4D81-A047-ABBCDBC040DD}">
            <xm:f>her!$A$5</xm:f>
            <x14:dxf>
              <fill>
                <patternFill>
                  <bgColor rgb="FF00B0F0"/>
                </patternFill>
              </fill>
            </x14:dxf>
          </x14:cfRule>
          <x14:cfRule type="cellIs" priority="36" operator="equal" id="{5B96B94C-2AA6-43ED-ABC6-AFEBCCD384CB}">
            <xm:f>her!$A$6</xm:f>
            <x14:dxf>
              <font>
                <color theme="0"/>
              </font>
              <fill>
                <patternFill>
                  <bgColor rgb="FFFF0000"/>
                </patternFill>
              </fill>
            </x14:dxf>
          </x14:cfRule>
          <xm:sqref>E19:F19</xm:sqref>
        </x14:conditionalFormatting>
        <x14:conditionalFormatting xmlns:xm="http://schemas.microsoft.com/office/excel/2006/main">
          <x14:cfRule type="cellIs" priority="66" operator="equal" id="{AAFBBAD8-447A-443F-B1B9-4D99F9912EA4}">
            <xm:f>her!$A$6</xm:f>
            <x14:dxf>
              <font>
                <color theme="0"/>
              </font>
              <fill>
                <patternFill>
                  <bgColor rgb="FFFF0000"/>
                </patternFill>
              </fill>
            </x14:dxf>
          </x14:cfRule>
          <x14:cfRule type="cellIs" priority="65" operator="equal" id="{FC0FC349-A22B-481C-997B-E71C61BD8DB8}">
            <xm:f>her!$A$5</xm:f>
            <x14:dxf>
              <fill>
                <patternFill>
                  <bgColor rgb="FF00B0F0"/>
                </patternFill>
              </fill>
            </x14:dxf>
          </x14:cfRule>
          <x14:cfRule type="cellIs" priority="64" operator="equal" id="{BF533485-D2B7-4C2F-BA4A-88F4510D3F93}">
            <xm:f>her!$A$4</xm:f>
            <x14:dxf>
              <fill>
                <patternFill>
                  <bgColor theme="5" tint="0.79998168889431442"/>
                </patternFill>
              </fill>
            </x14:dxf>
          </x14:cfRule>
          <x14:cfRule type="cellIs" priority="63" operator="equal" id="{FA2BF926-82BF-4389-B421-5D43BF689B75}">
            <xm:f>her!$A$3</xm:f>
            <x14:dxf>
              <fill>
                <patternFill>
                  <bgColor rgb="FF92D050"/>
                </patternFill>
              </fill>
            </x14:dxf>
          </x14:cfRule>
          <x14:cfRule type="cellIs" priority="62" operator="equal" id="{EA13CE81-4347-4189-9966-25CBF3124092}">
            <xm:f>her!$A$2</xm:f>
            <x14:dxf>
              <fill>
                <patternFill>
                  <bgColor rgb="FF00B050"/>
                </patternFill>
              </fill>
            </x14:dxf>
          </x14:cfRule>
          <x14:cfRule type="cellIs" priority="61" operator="equal" id="{654FAE0B-8556-45B8-9644-9D0FBEC7C476}">
            <xm:f>her!$A$1</xm:f>
            <x14:dxf>
              <fill>
                <patternFill>
                  <bgColor theme="8" tint="0.79998168889431442"/>
                </patternFill>
              </fill>
            </x14:dxf>
          </x14:cfRule>
          <xm:sqref>E21:F21</xm:sqref>
        </x14:conditionalFormatting>
        <x14:conditionalFormatting xmlns:xm="http://schemas.microsoft.com/office/excel/2006/main">
          <x14:cfRule type="cellIs" priority="57" operator="equal" id="{24DE175F-C8C8-462C-9A47-DBD2ABBABAD1}">
            <xm:f>her!$A$3</xm:f>
            <x14:dxf>
              <fill>
                <patternFill>
                  <bgColor rgb="FF92D050"/>
                </patternFill>
              </fill>
            </x14:dxf>
          </x14:cfRule>
          <x14:cfRule type="cellIs" priority="55" operator="equal" id="{15651343-0020-4BE8-9D1A-92780F276C06}">
            <xm:f>her!$A$1</xm:f>
            <x14:dxf>
              <fill>
                <patternFill>
                  <bgColor theme="8" tint="0.79998168889431442"/>
                </patternFill>
              </fill>
            </x14:dxf>
          </x14:cfRule>
          <x14:cfRule type="cellIs" priority="56" operator="equal" id="{227E7910-C787-47D6-B126-2CFCA90C6123}">
            <xm:f>her!$A$2</xm:f>
            <x14:dxf>
              <fill>
                <patternFill>
                  <bgColor rgb="FF00B050"/>
                </patternFill>
              </fill>
            </x14:dxf>
          </x14:cfRule>
          <x14:cfRule type="cellIs" priority="59" operator="equal" id="{E6A73AD5-E644-4B8E-9DC6-625E87C346EC}">
            <xm:f>her!$A$5</xm:f>
            <x14:dxf>
              <fill>
                <patternFill>
                  <bgColor rgb="FF00B0F0"/>
                </patternFill>
              </fill>
            </x14:dxf>
          </x14:cfRule>
          <x14:cfRule type="cellIs" priority="58" operator="equal" id="{1489D268-055B-4053-A18F-3BB6424AB7D2}">
            <xm:f>her!$A$4</xm:f>
            <x14:dxf>
              <fill>
                <patternFill>
                  <bgColor theme="5" tint="0.79998168889431442"/>
                </patternFill>
              </fill>
            </x14:dxf>
          </x14:cfRule>
          <x14:cfRule type="cellIs" priority="60" operator="equal" id="{5DA3D4FC-2632-425F-97C7-8FE4A62B94F9}">
            <xm:f>her!$A$6</xm:f>
            <x14:dxf>
              <font>
                <color theme="0"/>
              </font>
              <fill>
                <patternFill>
                  <bgColor rgb="FFFF0000"/>
                </patternFill>
              </fill>
            </x14:dxf>
          </x14:cfRule>
          <xm:sqref>E23:F23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Admin!$C$4:$C$35</xm:f>
          </x14:formula1>
          <xm:sqref>C21 C17 C19 C23</xm:sqref>
        </x14:dataValidation>
        <x14:dataValidation type="list" allowBlank="1" showInputMessage="1" showErrorMessage="1" xr:uid="{00000000-0002-0000-0100-000001000000}">
          <x14:formula1>
            <xm:f>Admin!$O$4:$O$7</xm:f>
          </x14:formula1>
          <xm:sqref>F29:F30</xm:sqref>
        </x14:dataValidation>
        <x14:dataValidation type="list" allowBlank="1" showInputMessage="1" showErrorMessage="1" xr:uid="{00000000-0002-0000-0100-000002000000}">
          <x14:formula1>
            <xm:f>her!$A$1:$A$6</xm:f>
          </x14:formula1>
          <xm:sqref>E11:F11 E13:F13 E23:F23 E15:F15 E17:F17 E19:F19 E21:F21 E9:F9</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A1:E59"/>
  <sheetViews>
    <sheetView zoomScale="85" zoomScaleNormal="85" zoomScalePageLayoutView="85" workbookViewId="0">
      <selection activeCell="B16" sqref="B16"/>
    </sheetView>
  </sheetViews>
  <sheetFormatPr baseColWidth="10" defaultColWidth="8.83203125" defaultRowHeight="16" x14ac:dyDescent="0.2"/>
  <cols>
    <col min="1" max="1" width="22.1640625" customWidth="1"/>
    <col min="2" max="2" width="100.5" customWidth="1"/>
    <col min="3" max="3" width="14.33203125" customWidth="1"/>
    <col min="4" max="4" width="15.6640625" customWidth="1"/>
    <col min="5" max="5" width="14.33203125" customWidth="1"/>
  </cols>
  <sheetData>
    <row r="1" spans="1:5" x14ac:dyDescent="0.2">
      <c r="A1" s="84" t="s">
        <v>449</v>
      </c>
      <c r="B1" s="85"/>
      <c r="C1" s="85" t="s">
        <v>271</v>
      </c>
      <c r="D1" s="85"/>
      <c r="E1" s="86"/>
    </row>
    <row r="2" spans="1:5" x14ac:dyDescent="0.2">
      <c r="A2" s="87"/>
      <c r="B2" s="88"/>
      <c r="C2" s="89" t="s">
        <v>442</v>
      </c>
      <c r="D2" s="89" t="s">
        <v>443</v>
      </c>
      <c r="E2" s="90" t="s">
        <v>535</v>
      </c>
    </row>
    <row r="3" spans="1:5" x14ac:dyDescent="0.2">
      <c r="A3" s="78" t="s">
        <v>270</v>
      </c>
      <c r="B3" s="82" t="s">
        <v>473</v>
      </c>
      <c r="C3" s="83" t="s">
        <v>269</v>
      </c>
      <c r="D3" s="83" t="s">
        <v>269</v>
      </c>
      <c r="E3" s="83"/>
    </row>
    <row r="4" spans="1:5" x14ac:dyDescent="0.2">
      <c r="A4" s="78"/>
      <c r="B4" s="80" t="s">
        <v>450</v>
      </c>
      <c r="C4" s="81" t="s">
        <v>269</v>
      </c>
      <c r="D4" s="81" t="s">
        <v>269</v>
      </c>
      <c r="E4" s="81" t="s">
        <v>269</v>
      </c>
    </row>
    <row r="5" spans="1:5" x14ac:dyDescent="0.2">
      <c r="A5" s="78"/>
      <c r="B5" s="80" t="s">
        <v>277</v>
      </c>
      <c r="C5" s="81" t="s">
        <v>269</v>
      </c>
      <c r="D5" s="81" t="s">
        <v>269</v>
      </c>
      <c r="E5" s="81"/>
    </row>
    <row r="6" spans="1:5" x14ac:dyDescent="0.2">
      <c r="A6" s="78"/>
      <c r="B6" s="80" t="s">
        <v>268</v>
      </c>
      <c r="C6" s="81" t="s">
        <v>269</v>
      </c>
      <c r="D6" s="81" t="s">
        <v>269</v>
      </c>
      <c r="E6" s="81"/>
    </row>
    <row r="7" spans="1:5" x14ac:dyDescent="0.2">
      <c r="A7" s="78"/>
      <c r="B7" s="80" t="s">
        <v>407</v>
      </c>
      <c r="C7" s="81" t="s">
        <v>269</v>
      </c>
      <c r="D7" s="81" t="s">
        <v>269</v>
      </c>
      <c r="E7" s="81"/>
    </row>
    <row r="8" spans="1:5" x14ac:dyDescent="0.2">
      <c r="A8" s="78"/>
      <c r="B8" s="80" t="s">
        <v>574</v>
      </c>
      <c r="C8" s="81" t="s">
        <v>269</v>
      </c>
      <c r="D8" s="81" t="s">
        <v>269</v>
      </c>
      <c r="E8" s="81" t="s">
        <v>269</v>
      </c>
    </row>
    <row r="9" spans="1:5" x14ac:dyDescent="0.2">
      <c r="A9" s="78"/>
      <c r="B9" s="80" t="s">
        <v>444</v>
      </c>
      <c r="C9" s="81" t="s">
        <v>269</v>
      </c>
      <c r="D9" s="81" t="s">
        <v>269</v>
      </c>
      <c r="E9" s="81" t="s">
        <v>269</v>
      </c>
    </row>
    <row r="10" spans="1:5" x14ac:dyDescent="0.2">
      <c r="A10" s="78"/>
      <c r="B10" s="80" t="s">
        <v>445</v>
      </c>
      <c r="C10" s="81" t="s">
        <v>269</v>
      </c>
      <c r="D10" s="81" t="s">
        <v>269</v>
      </c>
      <c r="E10" s="81" t="s">
        <v>269</v>
      </c>
    </row>
    <row r="11" spans="1:5" x14ac:dyDescent="0.2">
      <c r="A11" s="78"/>
      <c r="B11" s="80" t="s">
        <v>276</v>
      </c>
      <c r="C11" s="81" t="s">
        <v>269</v>
      </c>
      <c r="D11" s="81" t="s">
        <v>269</v>
      </c>
      <c r="E11" s="81" t="s">
        <v>269</v>
      </c>
    </row>
    <row r="12" spans="1:5" ht="34" x14ac:dyDescent="0.2">
      <c r="A12" s="78"/>
      <c r="B12" s="113" t="s">
        <v>279</v>
      </c>
      <c r="C12" s="81" t="s">
        <v>269</v>
      </c>
      <c r="D12" s="81" t="s">
        <v>269</v>
      </c>
      <c r="E12" s="81" t="s">
        <v>269</v>
      </c>
    </row>
    <row r="13" spans="1:5" x14ac:dyDescent="0.2">
      <c r="A13" s="78"/>
      <c r="B13" s="80" t="s">
        <v>475</v>
      </c>
      <c r="C13" s="81" t="s">
        <v>269</v>
      </c>
      <c r="D13" s="81" t="s">
        <v>269</v>
      </c>
      <c r="E13" s="81" t="s">
        <v>269</v>
      </c>
    </row>
    <row r="14" spans="1:5" x14ac:dyDescent="0.2">
      <c r="A14" s="78"/>
      <c r="B14" s="80" t="s">
        <v>446</v>
      </c>
      <c r="C14" s="81" t="s">
        <v>269</v>
      </c>
      <c r="D14" s="81" t="s">
        <v>269</v>
      </c>
      <c r="E14" s="81" t="s">
        <v>269</v>
      </c>
    </row>
    <row r="15" spans="1:5" x14ac:dyDescent="0.2">
      <c r="A15" s="78"/>
      <c r="B15" s="80" t="s">
        <v>575</v>
      </c>
      <c r="C15" s="81"/>
      <c r="D15" s="81"/>
      <c r="E15" s="81" t="s">
        <v>269</v>
      </c>
    </row>
    <row r="16" spans="1:5" x14ac:dyDescent="0.2">
      <c r="C16" s="77"/>
      <c r="D16" s="77"/>
      <c r="E16" s="77"/>
    </row>
    <row r="17" spans="1:5" x14ac:dyDescent="0.2">
      <c r="A17" s="78" t="s">
        <v>233</v>
      </c>
      <c r="B17" s="80" t="s">
        <v>411</v>
      </c>
      <c r="C17" s="81" t="s">
        <v>269</v>
      </c>
      <c r="D17" s="81"/>
      <c r="E17" s="81"/>
    </row>
    <row r="18" spans="1:5" x14ac:dyDescent="0.2">
      <c r="A18" s="78"/>
      <c r="B18" s="80" t="s">
        <v>410</v>
      </c>
      <c r="C18" s="81" t="s">
        <v>269</v>
      </c>
      <c r="D18" s="81"/>
      <c r="E18" s="81"/>
    </row>
    <row r="19" spans="1:5" x14ac:dyDescent="0.2">
      <c r="A19" s="78"/>
      <c r="B19" s="80" t="s">
        <v>447</v>
      </c>
      <c r="C19" s="81" t="s">
        <v>269</v>
      </c>
      <c r="D19" s="81" t="s">
        <v>269</v>
      </c>
      <c r="E19" s="81" t="s">
        <v>269</v>
      </c>
    </row>
    <row r="20" spans="1:5" x14ac:dyDescent="0.2">
      <c r="A20" s="78"/>
      <c r="B20" s="80" t="s">
        <v>409</v>
      </c>
      <c r="C20" s="81" t="s">
        <v>269</v>
      </c>
      <c r="D20" s="81" t="s">
        <v>269</v>
      </c>
      <c r="E20" s="81" t="s">
        <v>269</v>
      </c>
    </row>
    <row r="21" spans="1:5" x14ac:dyDescent="0.2">
      <c r="A21" s="78"/>
      <c r="B21" s="80" t="s">
        <v>408</v>
      </c>
      <c r="C21" s="81" t="s">
        <v>269</v>
      </c>
      <c r="D21" s="81"/>
      <c r="E21" s="81"/>
    </row>
    <row r="22" spans="1:5" x14ac:dyDescent="0.2">
      <c r="A22" s="78"/>
      <c r="B22" s="80" t="s">
        <v>451</v>
      </c>
      <c r="C22" s="81" t="s">
        <v>269</v>
      </c>
      <c r="D22" s="81" t="s">
        <v>269</v>
      </c>
      <c r="E22" s="81" t="s">
        <v>269</v>
      </c>
    </row>
    <row r="23" spans="1:5" x14ac:dyDescent="0.2">
      <c r="A23" s="78"/>
      <c r="B23" s="80" t="s">
        <v>412</v>
      </c>
      <c r="C23" s="81" t="s">
        <v>269</v>
      </c>
      <c r="D23" s="81"/>
      <c r="E23" s="81"/>
    </row>
    <row r="24" spans="1:5" x14ac:dyDescent="0.2">
      <c r="A24" s="78"/>
      <c r="B24" s="80" t="s">
        <v>413</v>
      </c>
      <c r="C24" s="81" t="s">
        <v>269</v>
      </c>
      <c r="D24" s="81" t="s">
        <v>269</v>
      </c>
      <c r="E24" s="81" t="s">
        <v>269</v>
      </c>
    </row>
    <row r="25" spans="1:5" x14ac:dyDescent="0.2">
      <c r="A25" s="78"/>
      <c r="B25" s="80" t="s">
        <v>414</v>
      </c>
      <c r="C25" s="81" t="s">
        <v>269</v>
      </c>
      <c r="D25" s="81" t="s">
        <v>269</v>
      </c>
      <c r="E25" s="81"/>
    </row>
    <row r="26" spans="1:5" x14ac:dyDescent="0.2">
      <c r="A26" s="78"/>
      <c r="B26" s="80" t="s">
        <v>423</v>
      </c>
      <c r="C26" s="81" t="s">
        <v>269</v>
      </c>
      <c r="D26" s="81" t="s">
        <v>269</v>
      </c>
      <c r="E26" s="81" t="s">
        <v>269</v>
      </c>
    </row>
    <row r="27" spans="1:5" x14ac:dyDescent="0.2">
      <c r="C27" s="77"/>
      <c r="D27" s="77"/>
      <c r="E27" s="77"/>
    </row>
    <row r="28" spans="1:5" ht="17" x14ac:dyDescent="0.2">
      <c r="A28" s="79" t="s">
        <v>422</v>
      </c>
      <c r="B28" s="80" t="s">
        <v>420</v>
      </c>
      <c r="C28" s="81" t="s">
        <v>269</v>
      </c>
      <c r="D28" s="81" t="s">
        <v>269</v>
      </c>
      <c r="E28" s="81" t="s">
        <v>269</v>
      </c>
    </row>
    <row r="29" spans="1:5" x14ac:dyDescent="0.2">
      <c r="A29" s="78"/>
      <c r="B29" s="80" t="s">
        <v>421</v>
      </c>
      <c r="C29" s="81"/>
      <c r="D29" s="81" t="s">
        <v>269</v>
      </c>
      <c r="E29" s="81" t="s">
        <v>269</v>
      </c>
    </row>
    <row r="30" spans="1:5" x14ac:dyDescent="0.2">
      <c r="A30" s="78"/>
      <c r="B30" s="80" t="s">
        <v>415</v>
      </c>
      <c r="C30" s="81"/>
      <c r="D30" s="81" t="s">
        <v>269</v>
      </c>
      <c r="E30" s="81" t="s">
        <v>269</v>
      </c>
    </row>
    <row r="31" spans="1:5" x14ac:dyDescent="0.2">
      <c r="A31" s="78"/>
      <c r="B31" s="80" t="s">
        <v>416</v>
      </c>
      <c r="C31" s="81"/>
      <c r="D31" s="81" t="s">
        <v>269</v>
      </c>
      <c r="E31" s="81" t="s">
        <v>269</v>
      </c>
    </row>
    <row r="32" spans="1:5" x14ac:dyDescent="0.2">
      <c r="A32" s="78"/>
      <c r="B32" s="80" t="s">
        <v>417</v>
      </c>
      <c r="C32" s="81"/>
      <c r="D32" s="81" t="s">
        <v>269</v>
      </c>
      <c r="E32" s="81" t="s">
        <v>269</v>
      </c>
    </row>
    <row r="33" spans="1:5" x14ac:dyDescent="0.2">
      <c r="A33" s="78"/>
      <c r="B33" s="80" t="s">
        <v>418</v>
      </c>
      <c r="C33" s="81"/>
      <c r="D33" s="81" t="s">
        <v>269</v>
      </c>
      <c r="E33" s="81" t="s">
        <v>269</v>
      </c>
    </row>
    <row r="34" spans="1:5" x14ac:dyDescent="0.2">
      <c r="A34" s="78"/>
      <c r="B34" s="80" t="s">
        <v>419</v>
      </c>
      <c r="C34" s="81"/>
      <c r="D34" s="81" t="s">
        <v>269</v>
      </c>
      <c r="E34" s="81" t="s">
        <v>269</v>
      </c>
    </row>
    <row r="35" spans="1:5" x14ac:dyDescent="0.2">
      <c r="C35" s="77"/>
      <c r="D35" s="77"/>
      <c r="E35" s="77"/>
    </row>
    <row r="36" spans="1:5" x14ac:dyDescent="0.2">
      <c r="A36" s="78" t="s">
        <v>1</v>
      </c>
      <c r="B36" s="80" t="s">
        <v>448</v>
      </c>
      <c r="C36" s="81" t="s">
        <v>269</v>
      </c>
      <c r="D36" s="81" t="s">
        <v>269</v>
      </c>
      <c r="E36" s="81" t="s">
        <v>269</v>
      </c>
    </row>
    <row r="37" spans="1:5" x14ac:dyDescent="0.2">
      <c r="A37" s="79"/>
      <c r="B37" s="80" t="s">
        <v>452</v>
      </c>
      <c r="C37" s="81" t="s">
        <v>269</v>
      </c>
      <c r="D37" s="81" t="s">
        <v>269</v>
      </c>
      <c r="E37" s="81" t="s">
        <v>269</v>
      </c>
    </row>
    <row r="38" spans="1:5" x14ac:dyDescent="0.2">
      <c r="A38" s="78"/>
      <c r="B38" s="80" t="s">
        <v>432</v>
      </c>
      <c r="C38" s="81" t="s">
        <v>269</v>
      </c>
      <c r="D38" s="81"/>
      <c r="E38" s="81"/>
    </row>
    <row r="39" spans="1:5" x14ac:dyDescent="0.2">
      <c r="A39" s="78"/>
      <c r="B39" s="80" t="s">
        <v>433</v>
      </c>
      <c r="C39" s="81" t="s">
        <v>269</v>
      </c>
      <c r="D39" s="81" t="s">
        <v>269</v>
      </c>
      <c r="E39" s="81"/>
    </row>
    <row r="40" spans="1:5" x14ac:dyDescent="0.2">
      <c r="A40" s="78"/>
      <c r="B40" s="80" t="s">
        <v>424</v>
      </c>
      <c r="C40" s="81"/>
      <c r="D40" s="81" t="s">
        <v>269</v>
      </c>
      <c r="E40" s="81" t="s">
        <v>269</v>
      </c>
    </row>
    <row r="41" spans="1:5" x14ac:dyDescent="0.2">
      <c r="A41" s="78"/>
      <c r="B41" s="80" t="s">
        <v>425</v>
      </c>
      <c r="C41" s="81" t="s">
        <v>269</v>
      </c>
      <c r="D41" s="81" t="s">
        <v>269</v>
      </c>
      <c r="E41" s="81"/>
    </row>
    <row r="42" spans="1:5" x14ac:dyDescent="0.2">
      <c r="A42" s="78"/>
      <c r="B42" s="80" t="s">
        <v>426</v>
      </c>
      <c r="C42" s="81"/>
      <c r="D42" s="81" t="s">
        <v>269</v>
      </c>
      <c r="E42" s="81" t="s">
        <v>269</v>
      </c>
    </row>
    <row r="43" spans="1:5" x14ac:dyDescent="0.2">
      <c r="A43" s="78"/>
      <c r="B43" s="80" t="s">
        <v>427</v>
      </c>
      <c r="C43" s="81"/>
      <c r="D43" s="81" t="s">
        <v>269</v>
      </c>
      <c r="E43" s="81" t="s">
        <v>269</v>
      </c>
    </row>
    <row r="44" spans="1:5" x14ac:dyDescent="0.2">
      <c r="A44" s="78"/>
      <c r="B44" s="80" t="s">
        <v>428</v>
      </c>
      <c r="C44" s="81"/>
      <c r="D44" s="81" t="s">
        <v>269</v>
      </c>
      <c r="E44" s="81" t="s">
        <v>269</v>
      </c>
    </row>
    <row r="45" spans="1:5" x14ac:dyDescent="0.2">
      <c r="A45" s="78"/>
      <c r="B45" s="80" t="s">
        <v>429</v>
      </c>
      <c r="C45" s="81"/>
      <c r="D45" s="81" t="s">
        <v>269</v>
      </c>
      <c r="E45" s="81" t="s">
        <v>269</v>
      </c>
    </row>
    <row r="46" spans="1:5" x14ac:dyDescent="0.2">
      <c r="A46" s="78"/>
      <c r="B46" s="80" t="s">
        <v>430</v>
      </c>
      <c r="C46" s="81"/>
      <c r="D46" s="81" t="s">
        <v>269</v>
      </c>
      <c r="E46" s="81" t="s">
        <v>269</v>
      </c>
    </row>
    <row r="47" spans="1:5" x14ac:dyDescent="0.2">
      <c r="A47" s="78"/>
      <c r="B47" s="80" t="s">
        <v>431</v>
      </c>
      <c r="C47" s="81"/>
      <c r="D47" s="81" t="s">
        <v>269</v>
      </c>
      <c r="E47" s="81" t="s">
        <v>269</v>
      </c>
    </row>
    <row r="48" spans="1:5" x14ac:dyDescent="0.2">
      <c r="A48" s="78"/>
      <c r="B48" s="80" t="s">
        <v>474</v>
      </c>
      <c r="C48" s="81"/>
      <c r="D48" s="81" t="s">
        <v>269</v>
      </c>
      <c r="E48" s="81" t="s">
        <v>269</v>
      </c>
    </row>
    <row r="49" spans="1:5" x14ac:dyDescent="0.2">
      <c r="C49" s="77"/>
      <c r="D49" s="77"/>
      <c r="E49" s="77"/>
    </row>
    <row r="50" spans="1:5" x14ac:dyDescent="0.2">
      <c r="A50" s="78" t="s">
        <v>434</v>
      </c>
      <c r="B50" s="80" t="s">
        <v>477</v>
      </c>
      <c r="C50" s="81" t="s">
        <v>269</v>
      </c>
      <c r="D50" s="81"/>
      <c r="E50" s="81"/>
    </row>
    <row r="51" spans="1:5" x14ac:dyDescent="0.2">
      <c r="A51" s="78"/>
      <c r="B51" s="80" t="s">
        <v>478</v>
      </c>
      <c r="C51" s="81" t="s">
        <v>269</v>
      </c>
      <c r="D51" s="81"/>
      <c r="E51" s="81"/>
    </row>
    <row r="52" spans="1:5" x14ac:dyDescent="0.2">
      <c r="A52" s="78"/>
      <c r="B52" s="80" t="s">
        <v>453</v>
      </c>
      <c r="C52" s="81"/>
      <c r="D52" s="81" t="s">
        <v>269</v>
      </c>
      <c r="E52" s="81" t="s">
        <v>269</v>
      </c>
    </row>
    <row r="53" spans="1:5" x14ac:dyDescent="0.2">
      <c r="A53" s="78"/>
      <c r="B53" s="80" t="s">
        <v>435</v>
      </c>
      <c r="C53" s="81"/>
      <c r="D53" s="81" t="s">
        <v>269</v>
      </c>
      <c r="E53" s="81" t="s">
        <v>269</v>
      </c>
    </row>
    <row r="54" spans="1:5" x14ac:dyDescent="0.2">
      <c r="A54" s="78"/>
      <c r="B54" s="80" t="s">
        <v>436</v>
      </c>
      <c r="C54" s="81"/>
      <c r="D54" s="81" t="s">
        <v>269</v>
      </c>
      <c r="E54" s="81" t="s">
        <v>269</v>
      </c>
    </row>
    <row r="55" spans="1:5" x14ac:dyDescent="0.2">
      <c r="C55" s="77"/>
      <c r="D55" s="77"/>
      <c r="E55" s="77"/>
    </row>
    <row r="56" spans="1:5" x14ac:dyDescent="0.2">
      <c r="A56" s="78" t="s">
        <v>437</v>
      </c>
      <c r="B56" s="80" t="s">
        <v>438</v>
      </c>
      <c r="C56" s="81" t="s">
        <v>269</v>
      </c>
      <c r="D56" s="81" t="s">
        <v>269</v>
      </c>
      <c r="E56" s="81" t="s">
        <v>269</v>
      </c>
    </row>
    <row r="57" spans="1:5" x14ac:dyDescent="0.2">
      <c r="A57" s="78"/>
      <c r="B57" s="80" t="s">
        <v>439</v>
      </c>
      <c r="C57" s="81" t="s">
        <v>269</v>
      </c>
      <c r="D57" s="81" t="s">
        <v>269</v>
      </c>
      <c r="E57" s="81" t="s">
        <v>269</v>
      </c>
    </row>
    <row r="58" spans="1:5" x14ac:dyDescent="0.2">
      <c r="A58" s="78"/>
      <c r="B58" s="80" t="s">
        <v>440</v>
      </c>
      <c r="C58" s="81" t="s">
        <v>269</v>
      </c>
      <c r="D58" s="81" t="s">
        <v>269</v>
      </c>
      <c r="E58" s="81" t="s">
        <v>269</v>
      </c>
    </row>
    <row r="59" spans="1:5" x14ac:dyDescent="0.2">
      <c r="A59" s="78"/>
      <c r="B59" s="80" t="s">
        <v>441</v>
      </c>
      <c r="C59" s="81" t="s">
        <v>269</v>
      </c>
      <c r="D59" s="81" t="s">
        <v>269</v>
      </c>
      <c r="E59" s="81" t="s">
        <v>269</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BEB"/>
    <pageSetUpPr fitToPage="1"/>
  </sheetPr>
  <dimension ref="A1:I1102"/>
  <sheetViews>
    <sheetView zoomScale="70" zoomScaleNormal="70" zoomScalePageLayoutView="70" workbookViewId="0">
      <pane xSplit="3" ySplit="1" topLeftCell="D2" activePane="bottomRight" state="frozen"/>
      <selection pane="topRight" activeCell="D1" sqref="D1"/>
      <selection pane="bottomLeft" activeCell="A2" sqref="A2"/>
      <selection pane="bottomRight" activeCell="E32" sqref="E32:E36"/>
    </sheetView>
  </sheetViews>
  <sheetFormatPr baseColWidth="10" defaultColWidth="14.5" defaultRowHeight="12" customHeight="1" x14ac:dyDescent="0.2"/>
  <cols>
    <col min="1" max="1" width="31.1640625" style="2" bestFit="1" customWidth="1"/>
    <col min="2" max="2" width="8.1640625" style="5" customWidth="1"/>
    <col min="3" max="3" width="4.6640625" style="3" bestFit="1" customWidth="1"/>
    <col min="4" max="4" width="60.1640625" style="2" bestFit="1" customWidth="1"/>
    <col min="5" max="5" width="59.6640625" style="4" customWidth="1"/>
    <col min="6" max="6" width="75.1640625" style="4" customWidth="1"/>
    <col min="7" max="7" width="8.1640625" style="5" bestFit="1" customWidth="1"/>
    <col min="8" max="8" width="14.5" style="2"/>
    <col min="9" max="9" width="14.5" style="2" customWidth="1"/>
    <col min="10" max="16384" width="14.5" style="2"/>
  </cols>
  <sheetData>
    <row r="1" spans="1:9" s="1" customFormat="1" ht="21" customHeight="1" x14ac:dyDescent="0.2">
      <c r="A1" s="6" t="s">
        <v>0</v>
      </c>
      <c r="B1" s="7" t="s">
        <v>4</v>
      </c>
      <c r="C1" s="296" t="s">
        <v>1</v>
      </c>
      <c r="D1" s="297"/>
      <c r="E1" s="6" t="s">
        <v>2</v>
      </c>
      <c r="F1" s="6" t="s">
        <v>3</v>
      </c>
      <c r="G1" s="7" t="s">
        <v>4</v>
      </c>
    </row>
    <row r="2" spans="1:9" ht="12" customHeight="1" x14ac:dyDescent="0.2">
      <c r="A2" s="346" t="s">
        <v>5</v>
      </c>
      <c r="B2" s="351" t="str">
        <f>$A$2&amp;"-"&amp;C2</f>
        <v>A-1</v>
      </c>
      <c r="C2" s="351">
        <v>1</v>
      </c>
      <c r="D2" s="354" t="s">
        <v>6</v>
      </c>
      <c r="E2" s="422" t="s">
        <v>150</v>
      </c>
      <c r="F2" s="8" t="s">
        <v>7</v>
      </c>
      <c r="G2" s="425" t="str">
        <f>$A$2&amp;"-"&amp;C2</f>
        <v>A-1</v>
      </c>
      <c r="I2"/>
    </row>
    <row r="3" spans="1:9" ht="12" customHeight="1" x14ac:dyDescent="0.15">
      <c r="A3" s="347"/>
      <c r="B3" s="352"/>
      <c r="C3" s="352"/>
      <c r="D3" s="355"/>
      <c r="E3" s="423"/>
      <c r="F3" s="8" t="s">
        <v>151</v>
      </c>
      <c r="G3" s="426"/>
    </row>
    <row r="4" spans="1:9" ht="12" customHeight="1" x14ac:dyDescent="0.15">
      <c r="A4" s="347" t="s">
        <v>8</v>
      </c>
      <c r="B4" s="352"/>
      <c r="C4" s="352"/>
      <c r="D4" s="355"/>
      <c r="E4" s="423"/>
      <c r="F4" s="8" t="s">
        <v>152</v>
      </c>
      <c r="G4" s="426"/>
    </row>
    <row r="5" spans="1:9" ht="12" customHeight="1" x14ac:dyDescent="0.15">
      <c r="A5" s="347"/>
      <c r="B5" s="352"/>
      <c r="C5" s="352"/>
      <c r="D5" s="355"/>
      <c r="E5" s="423"/>
      <c r="F5" s="8" t="s">
        <v>9</v>
      </c>
      <c r="G5" s="426"/>
    </row>
    <row r="6" spans="1:9" ht="12" customHeight="1" x14ac:dyDescent="0.15">
      <c r="A6" s="347" t="s">
        <v>10</v>
      </c>
      <c r="B6" s="353"/>
      <c r="C6" s="353"/>
      <c r="D6" s="356"/>
      <c r="E6" s="424"/>
      <c r="F6" s="8" t="s">
        <v>280</v>
      </c>
      <c r="G6" s="426"/>
    </row>
    <row r="7" spans="1:9" ht="12" customHeight="1" x14ac:dyDescent="0.15">
      <c r="A7" s="347"/>
      <c r="B7" s="357" t="str">
        <f t="shared" ref="B7" si="0">$A$2&amp;"-"&amp;C7</f>
        <v>A-2</v>
      </c>
      <c r="C7" s="357">
        <v>2</v>
      </c>
      <c r="D7" s="360" t="s">
        <v>11</v>
      </c>
      <c r="E7" s="427" t="s">
        <v>153</v>
      </c>
      <c r="F7" s="9" t="s">
        <v>12</v>
      </c>
      <c r="G7" s="428" t="str">
        <f>$A$2&amp;"-"&amp;C7</f>
        <v>A-2</v>
      </c>
    </row>
    <row r="8" spans="1:9" ht="12" customHeight="1" x14ac:dyDescent="0.15">
      <c r="A8" s="347"/>
      <c r="B8" s="358"/>
      <c r="C8" s="358"/>
      <c r="D8" s="361"/>
      <c r="E8" s="427"/>
      <c r="F8" s="10" t="s">
        <v>494</v>
      </c>
      <c r="G8" s="428"/>
    </row>
    <row r="9" spans="1:9" ht="12" customHeight="1" x14ac:dyDescent="0.15">
      <c r="A9" s="347"/>
      <c r="B9" s="358"/>
      <c r="C9" s="358"/>
      <c r="D9" s="361"/>
      <c r="E9" s="427"/>
      <c r="F9" s="10" t="s">
        <v>495</v>
      </c>
      <c r="G9" s="428"/>
    </row>
    <row r="10" spans="1:9" ht="12" customHeight="1" x14ac:dyDescent="0.15">
      <c r="A10" s="347"/>
      <c r="B10" s="358"/>
      <c r="C10" s="358"/>
      <c r="D10" s="361"/>
      <c r="E10" s="427"/>
      <c r="F10" s="10" t="s">
        <v>13</v>
      </c>
      <c r="G10" s="428"/>
    </row>
    <row r="11" spans="1:9" ht="12" customHeight="1" x14ac:dyDescent="0.15">
      <c r="A11" s="347"/>
      <c r="B11" s="359"/>
      <c r="C11" s="359"/>
      <c r="D11" s="362"/>
      <c r="E11" s="427"/>
      <c r="F11" s="10" t="s">
        <v>281</v>
      </c>
      <c r="G11" s="428"/>
    </row>
    <row r="12" spans="1:9" ht="12" customHeight="1" x14ac:dyDescent="0.15">
      <c r="A12" s="347"/>
      <c r="B12" s="351" t="str">
        <f t="shared" ref="B12" si="1">$A$2&amp;"-"&amp;C12</f>
        <v>A-3</v>
      </c>
      <c r="C12" s="351">
        <v>3</v>
      </c>
      <c r="D12" s="354" t="s">
        <v>14</v>
      </c>
      <c r="E12" s="429" t="s">
        <v>154</v>
      </c>
      <c r="F12" s="29" t="s">
        <v>155</v>
      </c>
      <c r="G12" s="425" t="str">
        <f>$A$2&amp;"-"&amp;C12</f>
        <v>A-3</v>
      </c>
    </row>
    <row r="13" spans="1:9" ht="12" customHeight="1" x14ac:dyDescent="0.15">
      <c r="A13" s="347"/>
      <c r="B13" s="352"/>
      <c r="C13" s="352"/>
      <c r="D13" s="355"/>
      <c r="E13" s="429"/>
      <c r="F13" s="30" t="s">
        <v>156</v>
      </c>
      <c r="G13" s="425"/>
    </row>
    <row r="14" spans="1:9" ht="12" customHeight="1" x14ac:dyDescent="0.15">
      <c r="A14" s="347"/>
      <c r="B14" s="352"/>
      <c r="C14" s="352"/>
      <c r="D14" s="355"/>
      <c r="E14" s="429"/>
      <c r="F14" s="30" t="s">
        <v>157</v>
      </c>
      <c r="G14" s="425"/>
    </row>
    <row r="15" spans="1:9" ht="12" customHeight="1" x14ac:dyDescent="0.15">
      <c r="A15" s="347"/>
      <c r="B15" s="352"/>
      <c r="C15" s="352"/>
      <c r="D15" s="355"/>
      <c r="E15" s="429"/>
      <c r="F15" s="30" t="s">
        <v>158</v>
      </c>
      <c r="G15" s="425"/>
    </row>
    <row r="16" spans="1:9" ht="12" customHeight="1" x14ac:dyDescent="0.15">
      <c r="A16" s="347"/>
      <c r="B16" s="353"/>
      <c r="C16" s="353"/>
      <c r="D16" s="356"/>
      <c r="E16" s="429"/>
      <c r="F16" s="30" t="s">
        <v>159</v>
      </c>
      <c r="G16" s="425"/>
    </row>
    <row r="17" spans="1:7" ht="12" customHeight="1" x14ac:dyDescent="0.15">
      <c r="A17" s="347"/>
      <c r="B17" s="357" t="str">
        <f t="shared" ref="B17" si="2">$A$2&amp;"-"&amp;C17</f>
        <v>A-4</v>
      </c>
      <c r="C17" s="363">
        <v>4</v>
      </c>
      <c r="D17" s="366" t="s">
        <v>15</v>
      </c>
      <c r="E17" s="430" t="s">
        <v>160</v>
      </c>
      <c r="F17" s="31" t="s">
        <v>161</v>
      </c>
      <c r="G17" s="431" t="str">
        <f>$A$2&amp;"-"&amp;C17</f>
        <v>A-4</v>
      </c>
    </row>
    <row r="18" spans="1:7" ht="12" customHeight="1" x14ac:dyDescent="0.15">
      <c r="A18" s="347"/>
      <c r="B18" s="358"/>
      <c r="C18" s="364"/>
      <c r="D18" s="367"/>
      <c r="E18" s="430"/>
      <c r="F18" s="32" t="s">
        <v>162</v>
      </c>
      <c r="G18" s="431"/>
    </row>
    <row r="19" spans="1:7" ht="12" customHeight="1" x14ac:dyDescent="0.15">
      <c r="A19" s="347"/>
      <c r="B19" s="358"/>
      <c r="C19" s="364"/>
      <c r="D19" s="367"/>
      <c r="E19" s="430"/>
      <c r="F19" s="32" t="s">
        <v>163</v>
      </c>
      <c r="G19" s="431"/>
    </row>
    <row r="20" spans="1:7" ht="12" customHeight="1" x14ac:dyDescent="0.15">
      <c r="A20" s="347"/>
      <c r="B20" s="358"/>
      <c r="C20" s="364"/>
      <c r="D20" s="367"/>
      <c r="E20" s="430"/>
      <c r="F20" s="32" t="s">
        <v>164</v>
      </c>
      <c r="G20" s="431"/>
    </row>
    <row r="21" spans="1:7" ht="12" customHeight="1" x14ac:dyDescent="0.15">
      <c r="A21" s="348"/>
      <c r="B21" s="359"/>
      <c r="C21" s="365"/>
      <c r="D21" s="368"/>
      <c r="E21" s="430"/>
      <c r="F21" s="32" t="s">
        <v>165</v>
      </c>
      <c r="G21" s="431"/>
    </row>
    <row r="22" spans="1:7" ht="12" customHeight="1" x14ac:dyDescent="0.15">
      <c r="A22" s="349" t="s">
        <v>16</v>
      </c>
      <c r="B22" s="369" t="str">
        <f>$A$22&amp;"-"&amp;C22</f>
        <v>B-1</v>
      </c>
      <c r="C22" s="369">
        <v>1</v>
      </c>
      <c r="D22" s="372" t="s">
        <v>17</v>
      </c>
      <c r="E22" s="432" t="s">
        <v>166</v>
      </c>
      <c r="F22" s="11" t="s">
        <v>167</v>
      </c>
      <c r="G22" s="433" t="str">
        <f>$A$22&amp;"-"&amp;C22</f>
        <v>B-1</v>
      </c>
    </row>
    <row r="23" spans="1:7" ht="12" customHeight="1" x14ac:dyDescent="0.15">
      <c r="A23" s="350"/>
      <c r="B23" s="370"/>
      <c r="C23" s="370"/>
      <c r="D23" s="373"/>
      <c r="E23" s="432"/>
      <c r="F23" s="12" t="s">
        <v>18</v>
      </c>
      <c r="G23" s="434"/>
    </row>
    <row r="24" spans="1:7" ht="12" customHeight="1" x14ac:dyDescent="0.15">
      <c r="A24" s="375" t="s">
        <v>19</v>
      </c>
      <c r="B24" s="370"/>
      <c r="C24" s="370"/>
      <c r="D24" s="373"/>
      <c r="E24" s="432"/>
      <c r="F24" s="12" t="s">
        <v>20</v>
      </c>
      <c r="G24" s="434"/>
    </row>
    <row r="25" spans="1:7" ht="12" customHeight="1" x14ac:dyDescent="0.15">
      <c r="A25" s="375"/>
      <c r="B25" s="370"/>
      <c r="C25" s="370"/>
      <c r="D25" s="373"/>
      <c r="E25" s="432"/>
      <c r="F25" s="12" t="s">
        <v>21</v>
      </c>
      <c r="G25" s="434"/>
    </row>
    <row r="26" spans="1:7" ht="12" customHeight="1" x14ac:dyDescent="0.15">
      <c r="A26" s="376" t="s">
        <v>22</v>
      </c>
      <c r="B26" s="371"/>
      <c r="C26" s="371"/>
      <c r="D26" s="374"/>
      <c r="E26" s="432"/>
      <c r="F26" s="12" t="s">
        <v>168</v>
      </c>
      <c r="G26" s="434"/>
    </row>
    <row r="27" spans="1:7" ht="12" customHeight="1" x14ac:dyDescent="0.15">
      <c r="A27" s="376"/>
      <c r="B27" s="325" t="str">
        <f>$A$22&amp;"-"&amp;C27</f>
        <v>B-2</v>
      </c>
      <c r="C27" s="325">
        <v>2</v>
      </c>
      <c r="D27" s="328" t="s">
        <v>23</v>
      </c>
      <c r="E27" s="435" t="s">
        <v>169</v>
      </c>
      <c r="F27" s="13" t="s">
        <v>24</v>
      </c>
      <c r="G27" s="436" t="str">
        <f>$A$22&amp;"-"&amp;C27</f>
        <v>B-2</v>
      </c>
    </row>
    <row r="28" spans="1:7" ht="12" customHeight="1" x14ac:dyDescent="0.15">
      <c r="A28" s="376"/>
      <c r="B28" s="326"/>
      <c r="C28" s="326"/>
      <c r="D28" s="329"/>
      <c r="E28" s="435"/>
      <c r="F28" s="14" t="s">
        <v>26</v>
      </c>
      <c r="G28" s="437"/>
    </row>
    <row r="29" spans="1:7" ht="12" customHeight="1" x14ac:dyDescent="0.15">
      <c r="A29" s="376"/>
      <c r="B29" s="326"/>
      <c r="C29" s="326"/>
      <c r="D29" s="329"/>
      <c r="E29" s="435"/>
      <c r="F29" s="14" t="s">
        <v>25</v>
      </c>
      <c r="G29" s="437"/>
    </row>
    <row r="30" spans="1:7" ht="12" customHeight="1" x14ac:dyDescent="0.15">
      <c r="A30" s="376"/>
      <c r="B30" s="326"/>
      <c r="C30" s="326"/>
      <c r="D30" s="329"/>
      <c r="E30" s="435"/>
      <c r="F30" s="14" t="s">
        <v>282</v>
      </c>
      <c r="G30" s="437"/>
    </row>
    <row r="31" spans="1:7" ht="12" customHeight="1" x14ac:dyDescent="0.15">
      <c r="A31" s="377"/>
      <c r="B31" s="327"/>
      <c r="C31" s="327"/>
      <c r="D31" s="330"/>
      <c r="E31" s="435"/>
      <c r="F31" s="14" t="s">
        <v>283</v>
      </c>
      <c r="G31" s="437"/>
    </row>
    <row r="32" spans="1:7" ht="12" customHeight="1" x14ac:dyDescent="0.15">
      <c r="A32" s="411" t="s">
        <v>27</v>
      </c>
      <c r="B32" s="298" t="str">
        <f>$A$32&amp;"-"&amp;C32</f>
        <v>C-1</v>
      </c>
      <c r="C32" s="319">
        <v>1</v>
      </c>
      <c r="D32" s="381" t="s">
        <v>28</v>
      </c>
      <c r="E32" s="438" t="s">
        <v>29</v>
      </c>
      <c r="F32" s="15" t="s">
        <v>30</v>
      </c>
      <c r="G32" s="439" t="str">
        <f>$A$32&amp;"-"&amp;C32</f>
        <v>C-1</v>
      </c>
    </row>
    <row r="33" spans="1:7" ht="12" customHeight="1" x14ac:dyDescent="0.15">
      <c r="A33" s="412"/>
      <c r="B33" s="299"/>
      <c r="C33" s="320"/>
      <c r="D33" s="382"/>
      <c r="E33" s="438"/>
      <c r="F33" s="15" t="s">
        <v>31</v>
      </c>
      <c r="G33" s="439"/>
    </row>
    <row r="34" spans="1:7" ht="12" customHeight="1" x14ac:dyDescent="0.15">
      <c r="A34" s="412" t="s">
        <v>32</v>
      </c>
      <c r="B34" s="299"/>
      <c r="C34" s="320"/>
      <c r="D34" s="382"/>
      <c r="E34" s="438"/>
      <c r="F34" s="15" t="s">
        <v>33</v>
      </c>
      <c r="G34" s="439"/>
    </row>
    <row r="35" spans="1:7" ht="12" customHeight="1" x14ac:dyDescent="0.15">
      <c r="A35" s="412"/>
      <c r="B35" s="299"/>
      <c r="C35" s="320"/>
      <c r="D35" s="382"/>
      <c r="E35" s="438"/>
      <c r="F35" s="17" t="s">
        <v>34</v>
      </c>
      <c r="G35" s="439"/>
    </row>
    <row r="36" spans="1:7" ht="12" customHeight="1" x14ac:dyDescent="0.15">
      <c r="A36" s="412" t="s">
        <v>35</v>
      </c>
      <c r="B36" s="300"/>
      <c r="C36" s="321"/>
      <c r="D36" s="383"/>
      <c r="E36" s="438"/>
      <c r="F36" s="17" t="s">
        <v>36</v>
      </c>
      <c r="G36" s="439"/>
    </row>
    <row r="37" spans="1:7" ht="12" customHeight="1" x14ac:dyDescent="0.15">
      <c r="A37" s="412"/>
      <c r="B37" s="298" t="str">
        <f t="shared" ref="B37" si="3">$A$32&amp;"-"&amp;C37</f>
        <v>C-2</v>
      </c>
      <c r="C37" s="384">
        <v>2</v>
      </c>
      <c r="D37" s="316" t="s">
        <v>37</v>
      </c>
      <c r="E37" s="440" t="s">
        <v>170</v>
      </c>
      <c r="F37" s="16" t="s">
        <v>38</v>
      </c>
      <c r="G37" s="441" t="str">
        <f>$A$32&amp;"-"&amp;C37</f>
        <v>C-2</v>
      </c>
    </row>
    <row r="38" spans="1:7" ht="12" customHeight="1" x14ac:dyDescent="0.15">
      <c r="A38" s="412"/>
      <c r="B38" s="299"/>
      <c r="C38" s="385"/>
      <c r="D38" s="317"/>
      <c r="E38" s="440"/>
      <c r="F38" s="16" t="s">
        <v>39</v>
      </c>
      <c r="G38" s="441"/>
    </row>
    <row r="39" spans="1:7" ht="12" customHeight="1" x14ac:dyDescent="0.15">
      <c r="A39" s="412"/>
      <c r="B39" s="299"/>
      <c r="C39" s="385"/>
      <c r="D39" s="317"/>
      <c r="E39" s="440"/>
      <c r="F39" s="16" t="s">
        <v>40</v>
      </c>
      <c r="G39" s="441"/>
    </row>
    <row r="40" spans="1:7" ht="12" customHeight="1" x14ac:dyDescent="0.15">
      <c r="A40" s="412"/>
      <c r="B40" s="299"/>
      <c r="C40" s="385"/>
      <c r="D40" s="317"/>
      <c r="E40" s="440"/>
      <c r="F40" s="18" t="s">
        <v>284</v>
      </c>
      <c r="G40" s="441"/>
    </row>
    <row r="41" spans="1:7" ht="12" customHeight="1" x14ac:dyDescent="0.15">
      <c r="A41" s="412"/>
      <c r="B41" s="300"/>
      <c r="C41" s="386"/>
      <c r="D41" s="318"/>
      <c r="E41" s="440"/>
      <c r="F41" s="18" t="s">
        <v>285</v>
      </c>
      <c r="G41" s="441"/>
    </row>
    <row r="42" spans="1:7" ht="12" customHeight="1" x14ac:dyDescent="0.15">
      <c r="A42" s="412"/>
      <c r="B42" s="298" t="str">
        <f t="shared" ref="B42" si="4">$A$32&amp;"-"&amp;C42</f>
        <v>C-3</v>
      </c>
      <c r="C42" s="319">
        <v>3</v>
      </c>
      <c r="D42" s="387" t="s">
        <v>41</v>
      </c>
      <c r="E42" s="438" t="s">
        <v>42</v>
      </c>
      <c r="F42" s="15" t="s">
        <v>43</v>
      </c>
      <c r="G42" s="439" t="str">
        <f>$A$32&amp;"-"&amp;C42</f>
        <v>C-3</v>
      </c>
    </row>
    <row r="43" spans="1:7" ht="12" customHeight="1" x14ac:dyDescent="0.15">
      <c r="A43" s="412"/>
      <c r="B43" s="299"/>
      <c r="C43" s="320"/>
      <c r="D43" s="388"/>
      <c r="E43" s="438"/>
      <c r="F43" s="15" t="s">
        <v>44</v>
      </c>
      <c r="G43" s="439"/>
    </row>
    <row r="44" spans="1:7" ht="12" customHeight="1" x14ac:dyDescent="0.15">
      <c r="A44" s="412"/>
      <c r="B44" s="299"/>
      <c r="C44" s="320"/>
      <c r="D44" s="388"/>
      <c r="E44" s="438"/>
      <c r="F44" s="15" t="s">
        <v>286</v>
      </c>
      <c r="G44" s="439"/>
    </row>
    <row r="45" spans="1:7" ht="12" customHeight="1" x14ac:dyDescent="0.15">
      <c r="A45" s="412"/>
      <c r="B45" s="299"/>
      <c r="C45" s="320"/>
      <c r="D45" s="388"/>
      <c r="E45" s="438"/>
      <c r="F45" s="15" t="s">
        <v>287</v>
      </c>
      <c r="G45" s="439"/>
    </row>
    <row r="46" spans="1:7" ht="12" customHeight="1" x14ac:dyDescent="0.15">
      <c r="A46" s="412"/>
      <c r="B46" s="300"/>
      <c r="C46" s="321"/>
      <c r="D46" s="389"/>
      <c r="E46" s="438"/>
      <c r="F46" s="15" t="s">
        <v>288</v>
      </c>
      <c r="G46" s="439"/>
    </row>
    <row r="47" spans="1:7" ht="12" customHeight="1" x14ac:dyDescent="0.15">
      <c r="A47" s="412"/>
      <c r="B47" s="298" t="str">
        <f t="shared" ref="B47" si="5">$A$32&amp;"-"&amp;C47</f>
        <v>C-4</v>
      </c>
      <c r="C47" s="301">
        <v>4</v>
      </c>
      <c r="D47" s="316" t="s">
        <v>45</v>
      </c>
      <c r="E47" s="440" t="s">
        <v>46</v>
      </c>
      <c r="F47" s="16" t="s">
        <v>47</v>
      </c>
      <c r="G47" s="441" t="str">
        <f>$A$32&amp;"-"&amp;C47</f>
        <v>C-4</v>
      </c>
    </row>
    <row r="48" spans="1:7" ht="12" customHeight="1" x14ac:dyDescent="0.15">
      <c r="A48" s="412"/>
      <c r="B48" s="299"/>
      <c r="C48" s="302"/>
      <c r="D48" s="317"/>
      <c r="E48" s="440"/>
      <c r="F48" s="16" t="s">
        <v>48</v>
      </c>
      <c r="G48" s="441"/>
    </row>
    <row r="49" spans="1:7" ht="12" customHeight="1" x14ac:dyDescent="0.15">
      <c r="A49" s="412"/>
      <c r="B49" s="299"/>
      <c r="C49" s="302"/>
      <c r="D49" s="317"/>
      <c r="E49" s="440"/>
      <c r="F49" s="16" t="s">
        <v>289</v>
      </c>
      <c r="G49" s="441"/>
    </row>
    <row r="50" spans="1:7" ht="12" customHeight="1" x14ac:dyDescent="0.15">
      <c r="A50" s="412"/>
      <c r="B50" s="299"/>
      <c r="C50" s="302"/>
      <c r="D50" s="317"/>
      <c r="E50" s="440"/>
      <c r="F50" s="16" t="s">
        <v>290</v>
      </c>
      <c r="G50" s="441"/>
    </row>
    <row r="51" spans="1:7" ht="12" customHeight="1" x14ac:dyDescent="0.15">
      <c r="A51" s="412"/>
      <c r="B51" s="300"/>
      <c r="C51" s="303"/>
      <c r="D51" s="318"/>
      <c r="E51" s="440"/>
      <c r="F51" s="16" t="s">
        <v>291</v>
      </c>
      <c r="G51" s="441"/>
    </row>
    <row r="52" spans="1:7" ht="12" customHeight="1" x14ac:dyDescent="0.15">
      <c r="A52" s="412"/>
      <c r="B52" s="298" t="str">
        <f t="shared" ref="B52" si="6">$A$32&amp;"-"&amp;C52</f>
        <v>C-5</v>
      </c>
      <c r="C52" s="319">
        <v>5</v>
      </c>
      <c r="D52" s="322" t="s">
        <v>49</v>
      </c>
      <c r="E52" s="442" t="s">
        <v>171</v>
      </c>
      <c r="F52" s="17" t="s">
        <v>50</v>
      </c>
      <c r="G52" s="443" t="str">
        <f>$A$32&amp;"-"&amp;C52</f>
        <v>C-5</v>
      </c>
    </row>
    <row r="53" spans="1:7" ht="12" customHeight="1" x14ac:dyDescent="0.15">
      <c r="A53" s="412"/>
      <c r="B53" s="299"/>
      <c r="C53" s="320"/>
      <c r="D53" s="323"/>
      <c r="E53" s="442"/>
      <c r="F53" s="17" t="s">
        <v>51</v>
      </c>
      <c r="G53" s="443"/>
    </row>
    <row r="54" spans="1:7" ht="12" customHeight="1" x14ac:dyDescent="0.15">
      <c r="A54" s="412"/>
      <c r="B54" s="299"/>
      <c r="C54" s="320"/>
      <c r="D54" s="323"/>
      <c r="E54" s="442"/>
      <c r="F54" s="17" t="s">
        <v>292</v>
      </c>
      <c r="G54" s="443"/>
    </row>
    <row r="55" spans="1:7" ht="12" customHeight="1" x14ac:dyDescent="0.15">
      <c r="A55" s="412"/>
      <c r="B55" s="299"/>
      <c r="C55" s="320"/>
      <c r="D55" s="323"/>
      <c r="E55" s="442"/>
      <c r="F55" s="17" t="s">
        <v>293</v>
      </c>
      <c r="G55" s="443"/>
    </row>
    <row r="56" spans="1:7" ht="12" customHeight="1" x14ac:dyDescent="0.15">
      <c r="A56" s="412"/>
      <c r="B56" s="300"/>
      <c r="C56" s="321"/>
      <c r="D56" s="324"/>
      <c r="E56" s="442"/>
      <c r="F56" s="17" t="s">
        <v>294</v>
      </c>
      <c r="G56" s="443"/>
    </row>
    <row r="57" spans="1:7" ht="12" customHeight="1" x14ac:dyDescent="0.15">
      <c r="A57" s="412"/>
      <c r="B57" s="298" t="str">
        <f t="shared" ref="B57" si="7">$A$32&amp;"-"&amp;C57</f>
        <v>C-6</v>
      </c>
      <c r="C57" s="301">
        <v>6</v>
      </c>
      <c r="D57" s="304" t="s">
        <v>52</v>
      </c>
      <c r="E57" s="440" t="s">
        <v>172</v>
      </c>
      <c r="F57" s="18" t="s">
        <v>173</v>
      </c>
      <c r="G57" s="444" t="str">
        <f>$A$32&amp;"-"&amp;C57</f>
        <v>C-6</v>
      </c>
    </row>
    <row r="58" spans="1:7" ht="12" customHeight="1" x14ac:dyDescent="0.15">
      <c r="A58" s="412"/>
      <c r="B58" s="299"/>
      <c r="C58" s="302"/>
      <c r="D58" s="305"/>
      <c r="E58" s="440"/>
      <c r="F58" s="18" t="s">
        <v>174</v>
      </c>
      <c r="G58" s="444"/>
    </row>
    <row r="59" spans="1:7" ht="12" customHeight="1" x14ac:dyDescent="0.15">
      <c r="A59" s="412"/>
      <c r="B59" s="299"/>
      <c r="C59" s="302"/>
      <c r="D59" s="305"/>
      <c r="E59" s="440"/>
      <c r="F59" s="18" t="s">
        <v>175</v>
      </c>
      <c r="G59" s="444"/>
    </row>
    <row r="60" spans="1:7" ht="12" customHeight="1" x14ac:dyDescent="0.15">
      <c r="A60" s="412"/>
      <c r="B60" s="299"/>
      <c r="C60" s="302"/>
      <c r="D60" s="305"/>
      <c r="E60" s="440"/>
      <c r="F60" s="18" t="s">
        <v>176</v>
      </c>
      <c r="G60" s="444"/>
    </row>
    <row r="61" spans="1:7" ht="12" customHeight="1" x14ac:dyDescent="0.15">
      <c r="A61" s="412"/>
      <c r="B61" s="300"/>
      <c r="C61" s="303"/>
      <c r="D61" s="306"/>
      <c r="E61" s="440"/>
      <c r="F61" s="18" t="s">
        <v>177</v>
      </c>
      <c r="G61" s="444"/>
    </row>
    <row r="62" spans="1:7" ht="12" customHeight="1" x14ac:dyDescent="0.15">
      <c r="A62" s="412"/>
      <c r="B62" s="298" t="str">
        <f t="shared" ref="B62" si="8">$A$32&amp;"-"&amp;C62</f>
        <v>C-7</v>
      </c>
      <c r="C62" s="319">
        <v>7</v>
      </c>
      <c r="D62" s="322" t="s">
        <v>53</v>
      </c>
      <c r="E62" s="438" t="s">
        <v>178</v>
      </c>
      <c r="F62" s="15" t="s">
        <v>54</v>
      </c>
      <c r="G62" s="443" t="str">
        <f>$A$32&amp;"-"&amp;C62</f>
        <v>C-7</v>
      </c>
    </row>
    <row r="63" spans="1:7" ht="12" customHeight="1" x14ac:dyDescent="0.15">
      <c r="A63" s="412"/>
      <c r="B63" s="299"/>
      <c r="C63" s="320"/>
      <c r="D63" s="323"/>
      <c r="E63" s="438"/>
      <c r="F63" s="15" t="s">
        <v>55</v>
      </c>
      <c r="G63" s="443"/>
    </row>
    <row r="64" spans="1:7" ht="12" customHeight="1" x14ac:dyDescent="0.15">
      <c r="A64" s="412"/>
      <c r="B64" s="299"/>
      <c r="C64" s="320"/>
      <c r="D64" s="323"/>
      <c r="E64" s="438"/>
      <c r="F64" s="15" t="s">
        <v>56</v>
      </c>
      <c r="G64" s="443"/>
    </row>
    <row r="65" spans="1:7" ht="12" customHeight="1" x14ac:dyDescent="0.15">
      <c r="A65" s="412"/>
      <c r="B65" s="299"/>
      <c r="C65" s="320"/>
      <c r="D65" s="323"/>
      <c r="E65" s="438"/>
      <c r="F65" s="17" t="s">
        <v>57</v>
      </c>
      <c r="G65" s="443"/>
    </row>
    <row r="66" spans="1:7" ht="12" customHeight="1" x14ac:dyDescent="0.15">
      <c r="A66" s="412"/>
      <c r="B66" s="300"/>
      <c r="C66" s="321"/>
      <c r="D66" s="324"/>
      <c r="E66" s="438"/>
      <c r="F66" s="17" t="s">
        <v>179</v>
      </c>
      <c r="G66" s="443"/>
    </row>
    <row r="67" spans="1:7" ht="12" customHeight="1" x14ac:dyDescent="0.15">
      <c r="A67" s="412"/>
      <c r="B67" s="298" t="str">
        <f t="shared" ref="B67" si="9">$A$32&amp;"-"&amp;C67</f>
        <v>C-8</v>
      </c>
      <c r="C67" s="301">
        <v>8</v>
      </c>
      <c r="D67" s="304" t="s">
        <v>58</v>
      </c>
      <c r="E67" s="440" t="s">
        <v>180</v>
      </c>
      <c r="F67" s="18" t="s">
        <v>59</v>
      </c>
      <c r="G67" s="444" t="str">
        <f>$A$32&amp;"-"&amp;C67</f>
        <v>C-8</v>
      </c>
    </row>
    <row r="68" spans="1:7" ht="12" customHeight="1" x14ac:dyDescent="0.15">
      <c r="A68" s="412"/>
      <c r="B68" s="299"/>
      <c r="C68" s="302"/>
      <c r="D68" s="305"/>
      <c r="E68" s="440"/>
      <c r="F68" s="18" t="s">
        <v>60</v>
      </c>
      <c r="G68" s="444"/>
    </row>
    <row r="69" spans="1:7" ht="12" customHeight="1" x14ac:dyDescent="0.15">
      <c r="A69" s="412"/>
      <c r="B69" s="299"/>
      <c r="C69" s="302"/>
      <c r="D69" s="305"/>
      <c r="E69" s="440"/>
      <c r="F69" s="18" t="s">
        <v>61</v>
      </c>
      <c r="G69" s="444"/>
    </row>
    <row r="70" spans="1:7" ht="12" customHeight="1" x14ac:dyDescent="0.15">
      <c r="A70" s="412"/>
      <c r="B70" s="299"/>
      <c r="C70" s="302"/>
      <c r="D70" s="305"/>
      <c r="E70" s="440"/>
      <c r="F70" s="18" t="s">
        <v>62</v>
      </c>
      <c r="G70" s="444"/>
    </row>
    <row r="71" spans="1:7" ht="12" customHeight="1" x14ac:dyDescent="0.15">
      <c r="A71" s="412"/>
      <c r="B71" s="300"/>
      <c r="C71" s="303"/>
      <c r="D71" s="306"/>
      <c r="E71" s="440"/>
      <c r="F71" s="18" t="s">
        <v>295</v>
      </c>
      <c r="G71" s="444"/>
    </row>
    <row r="72" spans="1:7" ht="12" customHeight="1" x14ac:dyDescent="0.15">
      <c r="A72" s="412"/>
      <c r="B72" s="298" t="str">
        <f t="shared" ref="B72" si="10">$A$32&amp;"-"&amp;C72</f>
        <v>C-9</v>
      </c>
      <c r="C72" s="319">
        <v>9</v>
      </c>
      <c r="D72" s="322" t="s">
        <v>181</v>
      </c>
      <c r="E72" s="438" t="s">
        <v>182</v>
      </c>
      <c r="F72" s="15" t="s">
        <v>183</v>
      </c>
      <c r="G72" s="443" t="str">
        <f>$A$32&amp;"-"&amp;C72</f>
        <v>C-9</v>
      </c>
    </row>
    <row r="73" spans="1:7" ht="12" customHeight="1" x14ac:dyDescent="0.15">
      <c r="A73" s="412"/>
      <c r="B73" s="299"/>
      <c r="C73" s="320"/>
      <c r="D73" s="323"/>
      <c r="E73" s="438"/>
      <c r="F73" s="15" t="s">
        <v>184</v>
      </c>
      <c r="G73" s="443"/>
    </row>
    <row r="74" spans="1:7" ht="12" customHeight="1" x14ac:dyDescent="0.15">
      <c r="A74" s="412"/>
      <c r="B74" s="299"/>
      <c r="C74" s="320"/>
      <c r="D74" s="323"/>
      <c r="E74" s="438"/>
      <c r="F74" s="15" t="s">
        <v>185</v>
      </c>
      <c r="G74" s="443"/>
    </row>
    <row r="75" spans="1:7" ht="12" customHeight="1" x14ac:dyDescent="0.15">
      <c r="A75" s="412"/>
      <c r="B75" s="299"/>
      <c r="C75" s="320"/>
      <c r="D75" s="323"/>
      <c r="E75" s="438"/>
      <c r="F75" s="17" t="s">
        <v>186</v>
      </c>
      <c r="G75" s="443"/>
    </row>
    <row r="76" spans="1:7" ht="12" customHeight="1" x14ac:dyDescent="0.15">
      <c r="A76" s="413"/>
      <c r="B76" s="300"/>
      <c r="C76" s="321"/>
      <c r="D76" s="324"/>
      <c r="E76" s="438"/>
      <c r="F76" s="17" t="s">
        <v>296</v>
      </c>
      <c r="G76" s="443"/>
    </row>
    <row r="77" spans="1:7" ht="12" customHeight="1" x14ac:dyDescent="0.15">
      <c r="A77" s="414" t="s">
        <v>63</v>
      </c>
      <c r="B77" s="307" t="str">
        <f>$A$77&amp;"-"&amp;C77</f>
        <v>D-1</v>
      </c>
      <c r="C77" s="331">
        <v>1</v>
      </c>
      <c r="D77" s="334" t="s">
        <v>64</v>
      </c>
      <c r="E77" s="445" t="s">
        <v>65</v>
      </c>
      <c r="F77" s="19" t="s">
        <v>66</v>
      </c>
      <c r="G77" s="446" t="str">
        <f>$A$77&amp;"-"&amp;C77</f>
        <v>D-1</v>
      </c>
    </row>
    <row r="78" spans="1:7" ht="12" customHeight="1" x14ac:dyDescent="0.15">
      <c r="A78" s="415"/>
      <c r="B78" s="308"/>
      <c r="C78" s="332"/>
      <c r="D78" s="335"/>
      <c r="E78" s="445"/>
      <c r="F78" s="19" t="s">
        <v>187</v>
      </c>
      <c r="G78" s="446"/>
    </row>
    <row r="79" spans="1:7" ht="12" customHeight="1" x14ac:dyDescent="0.15">
      <c r="A79" s="416" t="s">
        <v>67</v>
      </c>
      <c r="B79" s="308"/>
      <c r="C79" s="332"/>
      <c r="D79" s="335"/>
      <c r="E79" s="445"/>
      <c r="F79" s="33" t="s">
        <v>68</v>
      </c>
      <c r="G79" s="446"/>
    </row>
    <row r="80" spans="1:7" ht="12" customHeight="1" x14ac:dyDescent="0.15">
      <c r="A80" s="416"/>
      <c r="B80" s="308"/>
      <c r="C80" s="332"/>
      <c r="D80" s="335"/>
      <c r="E80" s="445"/>
      <c r="F80" s="33" t="s">
        <v>69</v>
      </c>
      <c r="G80" s="446"/>
    </row>
    <row r="81" spans="1:7" ht="12" customHeight="1" x14ac:dyDescent="0.15">
      <c r="A81" s="415" t="s">
        <v>70</v>
      </c>
      <c r="B81" s="309"/>
      <c r="C81" s="333"/>
      <c r="D81" s="336"/>
      <c r="E81" s="445"/>
      <c r="F81" s="33" t="s">
        <v>71</v>
      </c>
      <c r="G81" s="446"/>
    </row>
    <row r="82" spans="1:7" ht="12" customHeight="1" x14ac:dyDescent="0.15">
      <c r="A82" s="415"/>
      <c r="B82" s="307" t="str">
        <f t="shared" ref="B82" si="11">$A$77&amp;"-"&amp;C82</f>
        <v>D-2</v>
      </c>
      <c r="C82" s="337">
        <v>2</v>
      </c>
      <c r="D82" s="313" t="s">
        <v>72</v>
      </c>
      <c r="E82" s="447" t="s">
        <v>188</v>
      </c>
      <c r="F82" s="34" t="s">
        <v>189</v>
      </c>
      <c r="G82" s="448" t="str">
        <f>$A$77&amp;"-"&amp;C82</f>
        <v>D-2</v>
      </c>
    </row>
    <row r="83" spans="1:7" ht="12" customHeight="1" x14ac:dyDescent="0.15">
      <c r="A83" s="415"/>
      <c r="B83" s="308"/>
      <c r="C83" s="338"/>
      <c r="D83" s="314"/>
      <c r="E83" s="447"/>
      <c r="F83" s="35" t="s">
        <v>73</v>
      </c>
      <c r="G83" s="448"/>
    </row>
    <row r="84" spans="1:7" ht="12" customHeight="1" x14ac:dyDescent="0.15">
      <c r="A84" s="415"/>
      <c r="B84" s="308"/>
      <c r="C84" s="338"/>
      <c r="D84" s="314"/>
      <c r="E84" s="447"/>
      <c r="F84" s="35" t="s">
        <v>74</v>
      </c>
      <c r="G84" s="448"/>
    </row>
    <row r="85" spans="1:7" ht="12" customHeight="1" x14ac:dyDescent="0.15">
      <c r="A85" s="415"/>
      <c r="B85" s="308"/>
      <c r="C85" s="338"/>
      <c r="D85" s="314"/>
      <c r="E85" s="447"/>
      <c r="F85" s="35" t="s">
        <v>297</v>
      </c>
      <c r="G85" s="448"/>
    </row>
    <row r="86" spans="1:7" ht="12" customHeight="1" x14ac:dyDescent="0.15">
      <c r="A86" s="415"/>
      <c r="B86" s="309"/>
      <c r="C86" s="339"/>
      <c r="D86" s="315"/>
      <c r="E86" s="447"/>
      <c r="F86" s="35" t="s">
        <v>298</v>
      </c>
      <c r="G86" s="448"/>
    </row>
    <row r="87" spans="1:7" ht="12" customHeight="1" x14ac:dyDescent="0.15">
      <c r="A87" s="415"/>
      <c r="B87" s="307" t="str">
        <f t="shared" ref="B87" si="12">$A$77&amp;"-"&amp;C87</f>
        <v>D-3</v>
      </c>
      <c r="C87" s="307">
        <v>3</v>
      </c>
      <c r="D87" s="334" t="s">
        <v>75</v>
      </c>
      <c r="E87" s="445" t="s">
        <v>190</v>
      </c>
      <c r="F87" s="19" t="s">
        <v>191</v>
      </c>
      <c r="G87" s="446" t="str">
        <f>$A$77&amp;"-"&amp;C87</f>
        <v>D-3</v>
      </c>
    </row>
    <row r="88" spans="1:7" ht="12" customHeight="1" x14ac:dyDescent="0.15">
      <c r="A88" s="415"/>
      <c r="B88" s="308"/>
      <c r="C88" s="308"/>
      <c r="D88" s="335"/>
      <c r="E88" s="445"/>
      <c r="F88" s="19" t="s">
        <v>76</v>
      </c>
      <c r="G88" s="446"/>
    </row>
    <row r="89" spans="1:7" ht="12" customHeight="1" x14ac:dyDescent="0.15">
      <c r="A89" s="415"/>
      <c r="B89" s="308"/>
      <c r="C89" s="308"/>
      <c r="D89" s="335"/>
      <c r="E89" s="445"/>
      <c r="F89" s="19" t="s">
        <v>77</v>
      </c>
      <c r="G89" s="446"/>
    </row>
    <row r="90" spans="1:7" ht="12" customHeight="1" x14ac:dyDescent="0.15">
      <c r="A90" s="415"/>
      <c r="B90" s="308"/>
      <c r="C90" s="308"/>
      <c r="D90" s="335"/>
      <c r="E90" s="445"/>
      <c r="F90" s="19" t="s">
        <v>78</v>
      </c>
      <c r="G90" s="446"/>
    </row>
    <row r="91" spans="1:7" ht="12" customHeight="1" x14ac:dyDescent="0.15">
      <c r="A91" s="415"/>
      <c r="B91" s="309"/>
      <c r="C91" s="309"/>
      <c r="D91" s="336"/>
      <c r="E91" s="445"/>
      <c r="F91" s="19" t="s">
        <v>299</v>
      </c>
      <c r="G91" s="446"/>
    </row>
    <row r="92" spans="1:7" ht="12" customHeight="1" x14ac:dyDescent="0.15">
      <c r="A92" s="415"/>
      <c r="B92" s="307" t="str">
        <f t="shared" ref="B92" si="13">$A$77&amp;"-"&amp;C92</f>
        <v>D-4</v>
      </c>
      <c r="C92" s="310">
        <v>4</v>
      </c>
      <c r="D92" s="313" t="s">
        <v>79</v>
      </c>
      <c r="E92" s="449" t="s">
        <v>80</v>
      </c>
      <c r="F92" s="36" t="s">
        <v>300</v>
      </c>
      <c r="G92" s="448" t="str">
        <f>$A$77&amp;"-"&amp;C92</f>
        <v>D-4</v>
      </c>
    </row>
    <row r="93" spans="1:7" ht="12" customHeight="1" x14ac:dyDescent="0.15">
      <c r="A93" s="415"/>
      <c r="B93" s="308"/>
      <c r="C93" s="311"/>
      <c r="D93" s="314"/>
      <c r="E93" s="449"/>
      <c r="F93" s="36" t="s">
        <v>81</v>
      </c>
      <c r="G93" s="448"/>
    </row>
    <row r="94" spans="1:7" ht="12" customHeight="1" x14ac:dyDescent="0.15">
      <c r="A94" s="415"/>
      <c r="B94" s="308"/>
      <c r="C94" s="311"/>
      <c r="D94" s="314"/>
      <c r="E94" s="449"/>
      <c r="F94" s="36" t="s">
        <v>82</v>
      </c>
      <c r="G94" s="448"/>
    </row>
    <row r="95" spans="1:7" ht="12" customHeight="1" x14ac:dyDescent="0.15">
      <c r="A95" s="415"/>
      <c r="B95" s="308"/>
      <c r="C95" s="311"/>
      <c r="D95" s="314"/>
      <c r="E95" s="449"/>
      <c r="F95" s="36" t="s">
        <v>192</v>
      </c>
      <c r="G95" s="448"/>
    </row>
    <row r="96" spans="1:7" ht="12" customHeight="1" x14ac:dyDescent="0.15">
      <c r="A96" s="415"/>
      <c r="B96" s="309"/>
      <c r="C96" s="312"/>
      <c r="D96" s="315"/>
      <c r="E96" s="449"/>
      <c r="F96" s="36" t="s">
        <v>83</v>
      </c>
      <c r="G96" s="448"/>
    </row>
    <row r="97" spans="1:7" ht="12" customHeight="1" x14ac:dyDescent="0.15">
      <c r="A97" s="415"/>
      <c r="B97" s="307" t="str">
        <f t="shared" ref="B97" si="14">$A$77&amp;"-"&amp;C97</f>
        <v>D-5</v>
      </c>
      <c r="C97" s="307">
        <v>5</v>
      </c>
      <c r="D97" s="334" t="s">
        <v>84</v>
      </c>
      <c r="E97" s="445" t="s">
        <v>193</v>
      </c>
      <c r="F97" s="19" t="s">
        <v>301</v>
      </c>
      <c r="G97" s="446" t="str">
        <f>$A$77&amp;"-"&amp;C97</f>
        <v>D-5</v>
      </c>
    </row>
    <row r="98" spans="1:7" ht="12" customHeight="1" x14ac:dyDescent="0.15">
      <c r="A98" s="415"/>
      <c r="B98" s="308"/>
      <c r="C98" s="308"/>
      <c r="D98" s="335"/>
      <c r="E98" s="445"/>
      <c r="F98" s="19" t="s">
        <v>302</v>
      </c>
      <c r="G98" s="446"/>
    </row>
    <row r="99" spans="1:7" ht="12" customHeight="1" x14ac:dyDescent="0.15">
      <c r="A99" s="415"/>
      <c r="B99" s="308"/>
      <c r="C99" s="308"/>
      <c r="D99" s="335"/>
      <c r="E99" s="445"/>
      <c r="F99" s="19" t="s">
        <v>303</v>
      </c>
      <c r="G99" s="446"/>
    </row>
    <row r="100" spans="1:7" ht="12" customHeight="1" x14ac:dyDescent="0.15">
      <c r="A100" s="415"/>
      <c r="B100" s="308"/>
      <c r="C100" s="308"/>
      <c r="D100" s="335"/>
      <c r="E100" s="445"/>
      <c r="F100" s="19" t="s">
        <v>304</v>
      </c>
      <c r="G100" s="446"/>
    </row>
    <row r="101" spans="1:7" ht="12" customHeight="1" x14ac:dyDescent="0.15">
      <c r="A101" s="417"/>
      <c r="B101" s="309"/>
      <c r="C101" s="309"/>
      <c r="D101" s="336"/>
      <c r="E101" s="445"/>
      <c r="F101" s="19" t="s">
        <v>305</v>
      </c>
      <c r="G101" s="446"/>
    </row>
    <row r="102" spans="1:7" ht="12" customHeight="1" x14ac:dyDescent="0.15">
      <c r="A102" s="418" t="s">
        <v>85</v>
      </c>
      <c r="B102" s="400" t="str">
        <f>$A$102&amp;"-"&amp;C102</f>
        <v>E-1</v>
      </c>
      <c r="C102" s="400">
        <v>1</v>
      </c>
      <c r="D102" s="378" t="s">
        <v>86</v>
      </c>
      <c r="E102" s="450" t="s">
        <v>194</v>
      </c>
      <c r="F102" s="37" t="s">
        <v>87</v>
      </c>
      <c r="G102" s="451" t="str">
        <f>$A$102&amp;"-"&amp;C102</f>
        <v>E-1</v>
      </c>
    </row>
    <row r="103" spans="1:7" ht="12" customHeight="1" x14ac:dyDescent="0.15">
      <c r="A103" s="396"/>
      <c r="B103" s="401"/>
      <c r="C103" s="401"/>
      <c r="D103" s="379"/>
      <c r="E103" s="450"/>
      <c r="F103" s="38" t="s">
        <v>88</v>
      </c>
      <c r="G103" s="452"/>
    </row>
    <row r="104" spans="1:7" ht="12" customHeight="1" x14ac:dyDescent="0.15">
      <c r="A104" s="396" t="s">
        <v>89</v>
      </c>
      <c r="B104" s="401"/>
      <c r="C104" s="401"/>
      <c r="D104" s="379"/>
      <c r="E104" s="450"/>
      <c r="F104" s="38" t="s">
        <v>90</v>
      </c>
      <c r="G104" s="452"/>
    </row>
    <row r="105" spans="1:7" ht="12" customHeight="1" x14ac:dyDescent="0.15">
      <c r="A105" s="396"/>
      <c r="B105" s="401"/>
      <c r="C105" s="401"/>
      <c r="D105" s="379"/>
      <c r="E105" s="450"/>
      <c r="F105" s="38" t="s">
        <v>91</v>
      </c>
      <c r="G105" s="452"/>
    </row>
    <row r="106" spans="1:7" ht="12" customHeight="1" x14ac:dyDescent="0.15">
      <c r="A106" s="396" t="s">
        <v>92</v>
      </c>
      <c r="B106" s="402"/>
      <c r="C106" s="402"/>
      <c r="D106" s="380"/>
      <c r="E106" s="450"/>
      <c r="F106" s="38" t="s">
        <v>93</v>
      </c>
      <c r="G106" s="452"/>
    </row>
    <row r="107" spans="1:7" ht="12" customHeight="1" x14ac:dyDescent="0.15">
      <c r="A107" s="396"/>
      <c r="B107" s="400" t="str">
        <f t="shared" ref="B107" si="15">$A$102&amp;"-"&amp;C107</f>
        <v>E-2</v>
      </c>
      <c r="C107" s="419">
        <v>2</v>
      </c>
      <c r="D107" s="393" t="s">
        <v>94</v>
      </c>
      <c r="E107" s="453" t="s">
        <v>195</v>
      </c>
      <c r="F107" s="39" t="s">
        <v>106</v>
      </c>
      <c r="G107" s="451" t="str">
        <f>$A$102&amp;"-"&amp;C107</f>
        <v>E-2</v>
      </c>
    </row>
    <row r="108" spans="1:7" ht="12" customHeight="1" x14ac:dyDescent="0.15">
      <c r="A108" s="396"/>
      <c r="B108" s="401"/>
      <c r="C108" s="420"/>
      <c r="D108" s="394"/>
      <c r="E108" s="454"/>
      <c r="F108" s="39" t="s">
        <v>196</v>
      </c>
      <c r="G108" s="452"/>
    </row>
    <row r="109" spans="1:7" ht="12" customHeight="1" x14ac:dyDescent="0.15">
      <c r="A109" s="396"/>
      <c r="B109" s="401"/>
      <c r="C109" s="420"/>
      <c r="D109" s="394"/>
      <c r="E109" s="454"/>
      <c r="F109" s="39" t="s">
        <v>197</v>
      </c>
      <c r="G109" s="452"/>
    </row>
    <row r="110" spans="1:7" ht="12" customHeight="1" x14ac:dyDescent="0.15">
      <c r="A110" s="396"/>
      <c r="B110" s="401"/>
      <c r="C110" s="420"/>
      <c r="D110" s="394"/>
      <c r="E110" s="454"/>
      <c r="F110" s="39" t="s">
        <v>306</v>
      </c>
      <c r="G110" s="452"/>
    </row>
    <row r="111" spans="1:7" ht="12" customHeight="1" x14ac:dyDescent="0.15">
      <c r="A111" s="396"/>
      <c r="B111" s="402"/>
      <c r="C111" s="421"/>
      <c r="D111" s="395"/>
      <c r="E111" s="455"/>
      <c r="F111" s="39" t="s">
        <v>307</v>
      </c>
      <c r="G111" s="452"/>
    </row>
    <row r="112" spans="1:7" ht="12" customHeight="1" x14ac:dyDescent="0.15">
      <c r="A112" s="396"/>
      <c r="B112" s="400" t="str">
        <f t="shared" ref="B112" si="16">$A$102&amp;"-"&amp;C112</f>
        <v>E-3</v>
      </c>
      <c r="C112" s="400">
        <v>3</v>
      </c>
      <c r="D112" s="378" t="s">
        <v>95</v>
      </c>
      <c r="E112" s="456" t="s">
        <v>198</v>
      </c>
      <c r="F112" s="37" t="s">
        <v>199</v>
      </c>
      <c r="G112" s="451" t="str">
        <f>$A$102&amp;"-"&amp;C112</f>
        <v>E-3</v>
      </c>
    </row>
    <row r="113" spans="1:7" ht="12" customHeight="1" x14ac:dyDescent="0.15">
      <c r="A113" s="396"/>
      <c r="B113" s="401"/>
      <c r="C113" s="401"/>
      <c r="D113" s="379"/>
      <c r="E113" s="456"/>
      <c r="F113" s="38" t="s">
        <v>200</v>
      </c>
      <c r="G113" s="452"/>
    </row>
    <row r="114" spans="1:7" ht="12" customHeight="1" x14ac:dyDescent="0.15">
      <c r="A114" s="396"/>
      <c r="B114" s="401"/>
      <c r="C114" s="401"/>
      <c r="D114" s="379"/>
      <c r="E114" s="456"/>
      <c r="F114" s="38" t="s">
        <v>308</v>
      </c>
      <c r="G114" s="452"/>
    </row>
    <row r="115" spans="1:7" ht="12" customHeight="1" x14ac:dyDescent="0.15">
      <c r="A115" s="396"/>
      <c r="B115" s="401"/>
      <c r="C115" s="401"/>
      <c r="D115" s="379"/>
      <c r="E115" s="456"/>
      <c r="F115" s="38" t="s">
        <v>309</v>
      </c>
      <c r="G115" s="452"/>
    </row>
    <row r="116" spans="1:7" ht="12" customHeight="1" x14ac:dyDescent="0.15">
      <c r="A116" s="403"/>
      <c r="B116" s="402"/>
      <c r="C116" s="402"/>
      <c r="D116" s="380"/>
      <c r="E116" s="456"/>
      <c r="F116" s="38" t="s">
        <v>310</v>
      </c>
      <c r="G116" s="452"/>
    </row>
    <row r="117" spans="1:7" ht="12" customHeight="1" x14ac:dyDescent="0.15">
      <c r="A117" s="390" t="s">
        <v>96</v>
      </c>
      <c r="B117" s="397" t="str">
        <f>$A$117&amp;"-"&amp;C117</f>
        <v>F-1</v>
      </c>
      <c r="C117" s="405">
        <v>1</v>
      </c>
      <c r="D117" s="408" t="s">
        <v>97</v>
      </c>
      <c r="E117" s="457" t="s">
        <v>201</v>
      </c>
      <c r="F117" s="40" t="s">
        <v>98</v>
      </c>
      <c r="G117" s="460" t="str">
        <f>$A$117&amp;"-"&amp;C117</f>
        <v>F-1</v>
      </c>
    </row>
    <row r="118" spans="1:7" ht="12" customHeight="1" x14ac:dyDescent="0.15">
      <c r="A118" s="391"/>
      <c r="B118" s="398"/>
      <c r="C118" s="406"/>
      <c r="D118" s="409"/>
      <c r="E118" s="458"/>
      <c r="F118" s="40" t="s">
        <v>99</v>
      </c>
      <c r="G118" s="460"/>
    </row>
    <row r="119" spans="1:7" ht="12" customHeight="1" x14ac:dyDescent="0.15">
      <c r="A119" s="391" t="s">
        <v>100</v>
      </c>
      <c r="B119" s="398"/>
      <c r="C119" s="406"/>
      <c r="D119" s="409"/>
      <c r="E119" s="458"/>
      <c r="F119" s="40" t="s">
        <v>101</v>
      </c>
      <c r="G119" s="460"/>
    </row>
    <row r="120" spans="1:7" ht="12" customHeight="1" x14ac:dyDescent="0.15">
      <c r="A120" s="391"/>
      <c r="B120" s="398"/>
      <c r="C120" s="406"/>
      <c r="D120" s="409"/>
      <c r="E120" s="458"/>
      <c r="F120" s="40" t="s">
        <v>102</v>
      </c>
      <c r="G120" s="460"/>
    </row>
    <row r="121" spans="1:7" ht="12" customHeight="1" x14ac:dyDescent="0.15">
      <c r="A121" s="391" t="s">
        <v>103</v>
      </c>
      <c r="B121" s="399"/>
      <c r="C121" s="407"/>
      <c r="D121" s="410"/>
      <c r="E121" s="459"/>
      <c r="F121" s="40" t="s">
        <v>104</v>
      </c>
      <c r="G121" s="460"/>
    </row>
    <row r="122" spans="1:7" ht="12" customHeight="1" x14ac:dyDescent="0.15">
      <c r="A122" s="391"/>
      <c r="B122" s="397" t="str">
        <f t="shared" ref="B122" si="17">$A$117&amp;"-"&amp;C122</f>
        <v>F-2</v>
      </c>
      <c r="C122" s="340">
        <v>2</v>
      </c>
      <c r="D122" s="343" t="s">
        <v>105</v>
      </c>
      <c r="E122" s="461" t="s">
        <v>202</v>
      </c>
      <c r="F122" s="41" t="s">
        <v>311</v>
      </c>
      <c r="G122" s="460" t="str">
        <f>$A$117&amp;"-"&amp;C122</f>
        <v>F-2</v>
      </c>
    </row>
    <row r="123" spans="1:7" ht="12" customHeight="1" x14ac:dyDescent="0.15">
      <c r="A123" s="391"/>
      <c r="B123" s="398"/>
      <c r="C123" s="341"/>
      <c r="D123" s="344"/>
      <c r="E123" s="461"/>
      <c r="F123" s="41" t="s">
        <v>312</v>
      </c>
      <c r="G123" s="460"/>
    </row>
    <row r="124" spans="1:7" ht="12" customHeight="1" x14ac:dyDescent="0.15">
      <c r="A124" s="391"/>
      <c r="B124" s="398"/>
      <c r="C124" s="341"/>
      <c r="D124" s="344"/>
      <c r="E124" s="461"/>
      <c r="F124" s="41" t="s">
        <v>313</v>
      </c>
      <c r="G124" s="460"/>
    </row>
    <row r="125" spans="1:7" ht="12" customHeight="1" x14ac:dyDescent="0.15">
      <c r="A125" s="391"/>
      <c r="B125" s="398"/>
      <c r="C125" s="341"/>
      <c r="D125" s="344"/>
      <c r="E125" s="461"/>
      <c r="F125" s="41" t="s">
        <v>314</v>
      </c>
      <c r="G125" s="460"/>
    </row>
    <row r="126" spans="1:7" ht="12" customHeight="1" x14ac:dyDescent="0.15">
      <c r="A126" s="391"/>
      <c r="B126" s="399"/>
      <c r="C126" s="342"/>
      <c r="D126" s="345"/>
      <c r="E126" s="461"/>
      <c r="F126" s="41" t="s">
        <v>315</v>
      </c>
      <c r="G126" s="460"/>
    </row>
    <row r="127" spans="1:7" ht="12" customHeight="1" x14ac:dyDescent="0.15">
      <c r="A127" s="391"/>
      <c r="B127" s="397" t="str">
        <f t="shared" ref="B127" si="18">$A$117&amp;"-"&amp;C127</f>
        <v>F-3</v>
      </c>
      <c r="C127" s="405">
        <v>3</v>
      </c>
      <c r="D127" s="408" t="s">
        <v>107</v>
      </c>
      <c r="E127" s="470" t="s">
        <v>203</v>
      </c>
      <c r="F127" s="40" t="s">
        <v>108</v>
      </c>
      <c r="G127" s="471" t="str">
        <f>$A$117&amp;"-"&amp;C127</f>
        <v>F-3</v>
      </c>
    </row>
    <row r="128" spans="1:7" ht="12" customHeight="1" x14ac:dyDescent="0.15">
      <c r="A128" s="391"/>
      <c r="B128" s="398"/>
      <c r="C128" s="406"/>
      <c r="D128" s="409"/>
      <c r="E128" s="470"/>
      <c r="F128" s="40" t="s">
        <v>109</v>
      </c>
      <c r="G128" s="471"/>
    </row>
    <row r="129" spans="1:7" ht="12" customHeight="1" x14ac:dyDescent="0.15">
      <c r="A129" s="391"/>
      <c r="B129" s="398"/>
      <c r="C129" s="406"/>
      <c r="D129" s="409"/>
      <c r="E129" s="470"/>
      <c r="F129" s="40" t="s">
        <v>110</v>
      </c>
      <c r="G129" s="471"/>
    </row>
    <row r="130" spans="1:7" ht="12" customHeight="1" x14ac:dyDescent="0.15">
      <c r="A130" s="391"/>
      <c r="B130" s="398"/>
      <c r="C130" s="406"/>
      <c r="D130" s="409"/>
      <c r="E130" s="470"/>
      <c r="F130" s="40" t="s">
        <v>204</v>
      </c>
      <c r="G130" s="471"/>
    </row>
    <row r="131" spans="1:7" ht="12" customHeight="1" x14ac:dyDescent="0.15">
      <c r="A131" s="391"/>
      <c r="B131" s="399"/>
      <c r="C131" s="407"/>
      <c r="D131" s="410"/>
      <c r="E131" s="470"/>
      <c r="F131" s="40" t="s">
        <v>111</v>
      </c>
      <c r="G131" s="471"/>
    </row>
    <row r="132" spans="1:7" ht="12" customHeight="1" x14ac:dyDescent="0.15">
      <c r="A132" s="391"/>
      <c r="B132" s="397" t="str">
        <f t="shared" ref="B132" si="19">$A$117&amp;"-"&amp;C132</f>
        <v>F-4</v>
      </c>
      <c r="C132" s="340">
        <v>4</v>
      </c>
      <c r="D132" s="343" t="s">
        <v>205</v>
      </c>
      <c r="E132" s="461" t="s">
        <v>206</v>
      </c>
      <c r="F132" s="41" t="s">
        <v>112</v>
      </c>
      <c r="G132" s="460" t="str">
        <f>$A$117&amp;"-"&amp;C132</f>
        <v>F-4</v>
      </c>
    </row>
    <row r="133" spans="1:7" ht="12" customHeight="1" x14ac:dyDescent="0.15">
      <c r="A133" s="391"/>
      <c r="B133" s="398"/>
      <c r="C133" s="341"/>
      <c r="D133" s="344"/>
      <c r="E133" s="461"/>
      <c r="F133" s="41" t="s">
        <v>113</v>
      </c>
      <c r="G133" s="460"/>
    </row>
    <row r="134" spans="1:7" ht="12" customHeight="1" x14ac:dyDescent="0.15">
      <c r="A134" s="391"/>
      <c r="B134" s="398"/>
      <c r="C134" s="341"/>
      <c r="D134" s="344"/>
      <c r="E134" s="461"/>
      <c r="F134" s="41" t="s">
        <v>207</v>
      </c>
      <c r="G134" s="460"/>
    </row>
    <row r="135" spans="1:7" ht="12" customHeight="1" x14ac:dyDescent="0.15">
      <c r="A135" s="391"/>
      <c r="B135" s="398"/>
      <c r="C135" s="341"/>
      <c r="D135" s="344"/>
      <c r="E135" s="461"/>
      <c r="F135" s="41" t="s">
        <v>208</v>
      </c>
      <c r="G135" s="460"/>
    </row>
    <row r="136" spans="1:7" ht="12" customHeight="1" x14ac:dyDescent="0.15">
      <c r="A136" s="392"/>
      <c r="B136" s="399"/>
      <c r="C136" s="342"/>
      <c r="D136" s="345"/>
      <c r="E136" s="461"/>
      <c r="F136" s="42" t="s">
        <v>209</v>
      </c>
      <c r="G136" s="460"/>
    </row>
    <row r="137" spans="1:7" ht="12" customHeight="1" x14ac:dyDescent="0.15">
      <c r="A137" s="404" t="s">
        <v>114</v>
      </c>
      <c r="B137" s="270" t="str">
        <f>$A$137&amp;"-"&amp;C137</f>
        <v>G-a</v>
      </c>
      <c r="C137" s="270" t="s">
        <v>115</v>
      </c>
      <c r="D137" s="273" t="s">
        <v>116</v>
      </c>
      <c r="E137" s="463" t="s">
        <v>210</v>
      </c>
      <c r="F137" s="43" t="s">
        <v>118</v>
      </c>
      <c r="G137" s="464" t="str">
        <f>$A$137&amp;"-"&amp;C137</f>
        <v>G-a</v>
      </c>
    </row>
    <row r="138" spans="1:7" ht="12" customHeight="1" x14ac:dyDescent="0.15">
      <c r="A138" s="276"/>
      <c r="B138" s="271"/>
      <c r="C138" s="271"/>
      <c r="D138" s="274"/>
      <c r="E138" s="463"/>
      <c r="F138" s="43" t="s">
        <v>119</v>
      </c>
      <c r="G138" s="464"/>
    </row>
    <row r="139" spans="1:7" ht="12" customHeight="1" x14ac:dyDescent="0.15">
      <c r="A139" s="276" t="s">
        <v>117</v>
      </c>
      <c r="B139" s="271"/>
      <c r="C139" s="271"/>
      <c r="D139" s="274"/>
      <c r="E139" s="463"/>
      <c r="F139" s="44" t="s">
        <v>211</v>
      </c>
      <c r="G139" s="464"/>
    </row>
    <row r="140" spans="1:7" ht="12" customHeight="1" x14ac:dyDescent="0.15">
      <c r="A140" s="276"/>
      <c r="B140" s="271"/>
      <c r="C140" s="271"/>
      <c r="D140" s="274"/>
      <c r="E140" s="463"/>
      <c r="F140" s="43" t="s">
        <v>212</v>
      </c>
      <c r="G140" s="464"/>
    </row>
    <row r="141" spans="1:7" ht="12" customHeight="1" x14ac:dyDescent="0.15">
      <c r="A141" s="276" t="s">
        <v>213</v>
      </c>
      <c r="B141" s="272"/>
      <c r="C141" s="272"/>
      <c r="D141" s="275"/>
      <c r="E141" s="463"/>
      <c r="F141" s="43" t="s">
        <v>214</v>
      </c>
      <c r="G141" s="464"/>
    </row>
    <row r="142" spans="1:7" ht="12" customHeight="1" x14ac:dyDescent="0.15">
      <c r="A142" s="276"/>
      <c r="B142" s="270" t="str">
        <f t="shared" ref="B142" si="20">$A$137&amp;"-"&amp;C142</f>
        <v>G-b</v>
      </c>
      <c r="C142" s="278" t="s">
        <v>120</v>
      </c>
      <c r="D142" s="281" t="s">
        <v>121</v>
      </c>
      <c r="E142" s="465" t="s">
        <v>215</v>
      </c>
      <c r="F142" s="45" t="s">
        <v>216</v>
      </c>
      <c r="G142" s="462" t="str">
        <f>$A$137&amp;"-"&amp;C142</f>
        <v>G-b</v>
      </c>
    </row>
    <row r="143" spans="1:7" ht="12" customHeight="1" x14ac:dyDescent="0.15">
      <c r="A143" s="276"/>
      <c r="B143" s="271"/>
      <c r="C143" s="279"/>
      <c r="D143" s="282"/>
      <c r="E143" s="465"/>
      <c r="F143" s="45" t="s">
        <v>217</v>
      </c>
      <c r="G143" s="462"/>
    </row>
    <row r="144" spans="1:7" ht="12" customHeight="1" x14ac:dyDescent="0.15">
      <c r="A144" s="276"/>
      <c r="B144" s="271"/>
      <c r="C144" s="279"/>
      <c r="D144" s="282"/>
      <c r="E144" s="465"/>
      <c r="F144" s="45" t="s">
        <v>122</v>
      </c>
      <c r="G144" s="462"/>
    </row>
    <row r="145" spans="1:7" ht="12" customHeight="1" x14ac:dyDescent="0.15">
      <c r="A145" s="276"/>
      <c r="B145" s="271"/>
      <c r="C145" s="279"/>
      <c r="D145" s="282"/>
      <c r="E145" s="465"/>
      <c r="F145" s="45" t="s">
        <v>218</v>
      </c>
      <c r="G145" s="462"/>
    </row>
    <row r="146" spans="1:7" ht="12" customHeight="1" x14ac:dyDescent="0.15">
      <c r="A146" s="276"/>
      <c r="B146" s="272"/>
      <c r="C146" s="280"/>
      <c r="D146" s="283"/>
      <c r="E146" s="465"/>
      <c r="F146" s="46" t="s">
        <v>214</v>
      </c>
      <c r="G146" s="462"/>
    </row>
    <row r="147" spans="1:7" ht="12" customHeight="1" x14ac:dyDescent="0.15">
      <c r="A147" s="276"/>
      <c r="B147" s="270" t="str">
        <f t="shared" ref="B147" si="21">$A$137&amp;"-"&amp;C147</f>
        <v>G-c</v>
      </c>
      <c r="C147" s="284" t="s">
        <v>123</v>
      </c>
      <c r="D147" s="287" t="s">
        <v>124</v>
      </c>
      <c r="E147" s="472" t="s">
        <v>125</v>
      </c>
      <c r="F147" s="47" t="s">
        <v>126</v>
      </c>
      <c r="G147" s="473" t="str">
        <f>$A$137&amp;"-"&amp;C147</f>
        <v>G-c</v>
      </c>
    </row>
    <row r="148" spans="1:7" ht="12" customHeight="1" x14ac:dyDescent="0.15">
      <c r="A148" s="276"/>
      <c r="B148" s="271"/>
      <c r="C148" s="285"/>
      <c r="D148" s="288"/>
      <c r="E148" s="472"/>
      <c r="F148" s="48" t="s">
        <v>127</v>
      </c>
      <c r="G148" s="473"/>
    </row>
    <row r="149" spans="1:7" ht="12" customHeight="1" x14ac:dyDescent="0.15">
      <c r="A149" s="276"/>
      <c r="B149" s="271"/>
      <c r="C149" s="285"/>
      <c r="D149" s="288"/>
      <c r="E149" s="472"/>
      <c r="F149" s="48" t="s">
        <v>128</v>
      </c>
      <c r="G149" s="473"/>
    </row>
    <row r="150" spans="1:7" ht="12" customHeight="1" x14ac:dyDescent="0.15">
      <c r="A150" s="276"/>
      <c r="B150" s="271"/>
      <c r="C150" s="285"/>
      <c r="D150" s="288"/>
      <c r="E150" s="472"/>
      <c r="F150" s="48" t="s">
        <v>219</v>
      </c>
      <c r="G150" s="473"/>
    </row>
    <row r="151" spans="1:7" ht="12" customHeight="1" x14ac:dyDescent="0.15">
      <c r="A151" s="276"/>
      <c r="B151" s="272"/>
      <c r="C151" s="286"/>
      <c r="D151" s="289"/>
      <c r="E151" s="472"/>
      <c r="F151" s="48" t="s">
        <v>129</v>
      </c>
      <c r="G151" s="473"/>
    </row>
    <row r="152" spans="1:7" ht="12" customHeight="1" x14ac:dyDescent="0.15">
      <c r="A152" s="276"/>
      <c r="B152" s="270" t="str">
        <f t="shared" ref="B152" si="22">$A$137&amp;"-"&amp;C152</f>
        <v>G-d</v>
      </c>
      <c r="C152" s="293" t="s">
        <v>130</v>
      </c>
      <c r="D152" s="281" t="s">
        <v>131</v>
      </c>
      <c r="E152" s="465" t="s">
        <v>132</v>
      </c>
      <c r="F152" s="45" t="s">
        <v>133</v>
      </c>
      <c r="G152" s="462" t="str">
        <f>$A$137&amp;"-"&amp;C152</f>
        <v>G-d</v>
      </c>
    </row>
    <row r="153" spans="1:7" ht="12" customHeight="1" x14ac:dyDescent="0.15">
      <c r="A153" s="276"/>
      <c r="B153" s="271"/>
      <c r="C153" s="294"/>
      <c r="D153" s="282"/>
      <c r="E153" s="465"/>
      <c r="F153" s="45" t="s">
        <v>134</v>
      </c>
      <c r="G153" s="462"/>
    </row>
    <row r="154" spans="1:7" ht="12" customHeight="1" x14ac:dyDescent="0.15">
      <c r="A154" s="276"/>
      <c r="B154" s="271"/>
      <c r="C154" s="294"/>
      <c r="D154" s="282"/>
      <c r="E154" s="465"/>
      <c r="F154" s="45" t="s">
        <v>135</v>
      </c>
      <c r="G154" s="462"/>
    </row>
    <row r="155" spans="1:7" ht="12" customHeight="1" x14ac:dyDescent="0.15">
      <c r="A155" s="276"/>
      <c r="B155" s="271"/>
      <c r="C155" s="294"/>
      <c r="D155" s="282"/>
      <c r="E155" s="465"/>
      <c r="F155" s="45" t="s">
        <v>136</v>
      </c>
      <c r="G155" s="462"/>
    </row>
    <row r="156" spans="1:7" ht="12" customHeight="1" x14ac:dyDescent="0.15">
      <c r="A156" s="276"/>
      <c r="B156" s="272"/>
      <c r="C156" s="295"/>
      <c r="D156" s="283"/>
      <c r="E156" s="465"/>
      <c r="F156" s="46" t="s">
        <v>137</v>
      </c>
      <c r="G156" s="462"/>
    </row>
    <row r="157" spans="1:7" ht="12" customHeight="1" x14ac:dyDescent="0.15">
      <c r="A157" s="276"/>
      <c r="B157" s="270" t="str">
        <f t="shared" ref="B157" si="23">$A$137&amp;"-"&amp;C157</f>
        <v>G-e</v>
      </c>
      <c r="C157" s="270" t="s">
        <v>138</v>
      </c>
      <c r="D157" s="273" t="s">
        <v>139</v>
      </c>
      <c r="E157" s="463" t="s">
        <v>220</v>
      </c>
      <c r="F157" s="49" t="s">
        <v>140</v>
      </c>
      <c r="G157" s="464" t="str">
        <f>$A$137&amp;"-"&amp;C157</f>
        <v>G-e</v>
      </c>
    </row>
    <row r="158" spans="1:7" ht="12" customHeight="1" x14ac:dyDescent="0.15">
      <c r="A158" s="276"/>
      <c r="B158" s="271"/>
      <c r="C158" s="271"/>
      <c r="D158" s="274"/>
      <c r="E158" s="463"/>
      <c r="F158" s="49" t="s">
        <v>221</v>
      </c>
      <c r="G158" s="464"/>
    </row>
    <row r="159" spans="1:7" ht="12" customHeight="1" x14ac:dyDescent="0.15">
      <c r="A159" s="276"/>
      <c r="B159" s="271"/>
      <c r="C159" s="271"/>
      <c r="D159" s="274"/>
      <c r="E159" s="463"/>
      <c r="F159" s="49" t="s">
        <v>222</v>
      </c>
      <c r="G159" s="464"/>
    </row>
    <row r="160" spans="1:7" ht="12" customHeight="1" x14ac:dyDescent="0.15">
      <c r="A160" s="276"/>
      <c r="B160" s="271"/>
      <c r="C160" s="271"/>
      <c r="D160" s="274"/>
      <c r="E160" s="463"/>
      <c r="F160" s="49" t="s">
        <v>223</v>
      </c>
      <c r="G160" s="464"/>
    </row>
    <row r="161" spans="1:7" ht="12" customHeight="1" x14ac:dyDescent="0.15">
      <c r="A161" s="276"/>
      <c r="B161" s="272"/>
      <c r="C161" s="272"/>
      <c r="D161" s="275"/>
      <c r="E161" s="463"/>
      <c r="F161" s="49" t="s">
        <v>224</v>
      </c>
      <c r="G161" s="464"/>
    </row>
    <row r="162" spans="1:7" ht="12" customHeight="1" x14ac:dyDescent="0.15">
      <c r="A162" s="276"/>
      <c r="B162" s="270" t="str">
        <f t="shared" ref="B162" si="24">$A$137&amp;"-"&amp;C162</f>
        <v>G-f</v>
      </c>
      <c r="C162" s="278" t="s">
        <v>141</v>
      </c>
      <c r="D162" s="290" t="s">
        <v>142</v>
      </c>
      <c r="E162" s="465" t="s">
        <v>143</v>
      </c>
      <c r="F162" s="45" t="s">
        <v>144</v>
      </c>
      <c r="G162" s="466" t="str">
        <f>$A$137&amp;"-"&amp;C162</f>
        <v>G-f</v>
      </c>
    </row>
    <row r="163" spans="1:7" ht="12" customHeight="1" x14ac:dyDescent="0.15">
      <c r="A163" s="276"/>
      <c r="B163" s="271"/>
      <c r="C163" s="279"/>
      <c r="D163" s="291"/>
      <c r="E163" s="465"/>
      <c r="F163" s="45" t="s">
        <v>145</v>
      </c>
      <c r="G163" s="466"/>
    </row>
    <row r="164" spans="1:7" ht="12" customHeight="1" x14ac:dyDescent="0.15">
      <c r="A164" s="276"/>
      <c r="B164" s="271"/>
      <c r="C164" s="279"/>
      <c r="D164" s="291"/>
      <c r="E164" s="465"/>
      <c r="F164" s="45" t="s">
        <v>146</v>
      </c>
      <c r="G164" s="466"/>
    </row>
    <row r="165" spans="1:7" ht="12" customHeight="1" x14ac:dyDescent="0.15">
      <c r="A165" s="276"/>
      <c r="B165" s="271"/>
      <c r="C165" s="279"/>
      <c r="D165" s="291"/>
      <c r="E165" s="465"/>
      <c r="F165" s="45" t="s">
        <v>147</v>
      </c>
      <c r="G165" s="466"/>
    </row>
    <row r="166" spans="1:7" ht="12" customHeight="1" x14ac:dyDescent="0.15">
      <c r="A166" s="276"/>
      <c r="B166" s="272"/>
      <c r="C166" s="280"/>
      <c r="D166" s="292"/>
      <c r="E166" s="465"/>
      <c r="F166" s="45" t="s">
        <v>225</v>
      </c>
      <c r="G166" s="466"/>
    </row>
    <row r="167" spans="1:7" ht="12" customHeight="1" x14ac:dyDescent="0.15">
      <c r="A167" s="276"/>
      <c r="B167" s="270" t="str">
        <f t="shared" ref="B167" si="25">$A$137&amp;"-"&amp;C167</f>
        <v>G-g</v>
      </c>
      <c r="C167" s="270" t="s">
        <v>148</v>
      </c>
      <c r="D167" s="273" t="s">
        <v>149</v>
      </c>
      <c r="E167" s="467" t="s">
        <v>226</v>
      </c>
      <c r="F167" s="49" t="s">
        <v>227</v>
      </c>
      <c r="G167" s="270" t="str">
        <f>$A$137&amp;"-"&amp;C167</f>
        <v>G-g</v>
      </c>
    </row>
    <row r="168" spans="1:7" ht="12" customHeight="1" x14ac:dyDescent="0.15">
      <c r="A168" s="276"/>
      <c r="B168" s="271"/>
      <c r="C168" s="271"/>
      <c r="D168" s="274"/>
      <c r="E168" s="468"/>
      <c r="F168" s="49" t="s">
        <v>228</v>
      </c>
      <c r="G168" s="271"/>
    </row>
    <row r="169" spans="1:7" ht="12" customHeight="1" x14ac:dyDescent="0.15">
      <c r="A169" s="276"/>
      <c r="B169" s="271"/>
      <c r="C169" s="271"/>
      <c r="D169" s="274"/>
      <c r="E169" s="468"/>
      <c r="F169" s="49" t="s">
        <v>229</v>
      </c>
      <c r="G169" s="271"/>
    </row>
    <row r="170" spans="1:7" ht="12" customHeight="1" x14ac:dyDescent="0.15">
      <c r="A170" s="276"/>
      <c r="B170" s="271"/>
      <c r="C170" s="271"/>
      <c r="D170" s="274"/>
      <c r="E170" s="468"/>
      <c r="F170" s="49" t="s">
        <v>230</v>
      </c>
      <c r="G170" s="271"/>
    </row>
    <row r="171" spans="1:7" ht="12" customHeight="1" x14ac:dyDescent="0.15">
      <c r="A171" s="277"/>
      <c r="B171" s="272"/>
      <c r="C171" s="272"/>
      <c r="D171" s="275"/>
      <c r="E171" s="469"/>
      <c r="F171" s="49" t="s">
        <v>316</v>
      </c>
      <c r="G171" s="272"/>
    </row>
    <row r="172" spans="1:7" ht="12" customHeight="1" x14ac:dyDescent="0.2">
      <c r="A172" s="20"/>
      <c r="B172" s="21"/>
      <c r="C172" s="22"/>
      <c r="D172" s="23"/>
      <c r="E172" s="24"/>
      <c r="F172" s="24"/>
      <c r="G172" s="21"/>
    </row>
    <row r="173" spans="1:7" ht="12" customHeight="1" x14ac:dyDescent="0.2">
      <c r="A173" s="20"/>
      <c r="B173" s="21"/>
      <c r="C173" s="22"/>
      <c r="D173" s="23"/>
      <c r="E173" s="24"/>
      <c r="F173" s="24"/>
      <c r="G173" s="21"/>
    </row>
    <row r="174" spans="1:7" ht="12" customHeight="1" x14ac:dyDescent="0.2">
      <c r="A174" s="20"/>
      <c r="B174" s="21"/>
      <c r="C174" s="22"/>
      <c r="D174" s="23"/>
      <c r="E174" s="24"/>
      <c r="F174" s="24"/>
      <c r="G174" s="21"/>
    </row>
    <row r="175" spans="1:7" ht="12" customHeight="1" x14ac:dyDescent="0.2">
      <c r="A175" s="20"/>
      <c r="B175" s="21"/>
      <c r="C175" s="22"/>
      <c r="D175" s="23"/>
      <c r="E175" s="24"/>
      <c r="F175" s="24"/>
      <c r="G175" s="21"/>
    </row>
    <row r="176" spans="1:7" ht="12" customHeight="1" x14ac:dyDescent="0.2">
      <c r="A176" s="20"/>
      <c r="B176" s="21"/>
      <c r="C176" s="22"/>
      <c r="D176" s="23"/>
      <c r="E176" s="24"/>
      <c r="F176" s="24"/>
      <c r="G176" s="21"/>
    </row>
    <row r="177" spans="1:7" ht="12" customHeight="1" x14ac:dyDescent="0.2">
      <c r="A177" s="20"/>
      <c r="B177" s="21"/>
      <c r="C177" s="22"/>
      <c r="D177" s="23"/>
      <c r="E177" s="24"/>
      <c r="F177" s="24"/>
      <c r="G177" s="21"/>
    </row>
    <row r="178" spans="1:7" ht="12" customHeight="1" x14ac:dyDescent="0.2">
      <c r="A178" s="20"/>
      <c r="B178" s="21"/>
      <c r="C178" s="22"/>
      <c r="D178" s="23"/>
      <c r="E178" s="24"/>
      <c r="F178" s="24"/>
      <c r="G178" s="21"/>
    </row>
    <row r="179" spans="1:7" ht="12" customHeight="1" x14ac:dyDescent="0.2">
      <c r="A179" s="20"/>
      <c r="B179" s="21"/>
      <c r="C179" s="22"/>
      <c r="D179" s="23"/>
      <c r="E179" s="24"/>
      <c r="F179" s="24"/>
      <c r="G179" s="21"/>
    </row>
    <row r="180" spans="1:7" ht="12" customHeight="1" x14ac:dyDescent="0.2">
      <c r="A180" s="20"/>
      <c r="B180" s="21"/>
      <c r="C180" s="22"/>
      <c r="D180" s="23"/>
      <c r="E180" s="24"/>
      <c r="F180" s="24"/>
      <c r="G180" s="21"/>
    </row>
    <row r="181" spans="1:7" ht="12" customHeight="1" x14ac:dyDescent="0.2">
      <c r="A181" s="20"/>
      <c r="B181" s="21"/>
      <c r="C181" s="22"/>
      <c r="D181" s="23"/>
      <c r="E181" s="24"/>
      <c r="F181" s="24"/>
      <c r="G181" s="21"/>
    </row>
    <row r="182" spans="1:7" ht="12" customHeight="1" x14ac:dyDescent="0.2">
      <c r="A182" s="20"/>
      <c r="B182" s="21"/>
      <c r="C182" s="22"/>
      <c r="D182" s="23"/>
      <c r="E182" s="24"/>
      <c r="F182" s="24"/>
      <c r="G182" s="21"/>
    </row>
    <row r="183" spans="1:7" ht="12" customHeight="1" x14ac:dyDescent="0.2">
      <c r="A183" s="20"/>
      <c r="B183" s="21"/>
      <c r="C183" s="22"/>
      <c r="D183" s="23"/>
      <c r="E183" s="24"/>
      <c r="F183" s="24"/>
      <c r="G183" s="21"/>
    </row>
    <row r="184" spans="1:7" ht="12" customHeight="1" x14ac:dyDescent="0.2">
      <c r="A184" s="20"/>
      <c r="B184" s="21"/>
      <c r="C184" s="22"/>
      <c r="D184" s="23"/>
      <c r="E184" s="24"/>
      <c r="F184" s="24"/>
      <c r="G184" s="21"/>
    </row>
    <row r="185" spans="1:7" ht="12" customHeight="1" x14ac:dyDescent="0.2">
      <c r="A185" s="20"/>
      <c r="B185" s="21"/>
      <c r="C185" s="22"/>
      <c r="D185" s="23"/>
      <c r="E185" s="24"/>
      <c r="F185" s="24"/>
      <c r="G185" s="21"/>
    </row>
    <row r="186" spans="1:7" ht="12" customHeight="1" x14ac:dyDescent="0.2">
      <c r="A186" s="20"/>
      <c r="B186" s="21"/>
      <c r="C186" s="22"/>
      <c r="D186" s="23"/>
      <c r="E186" s="24"/>
      <c r="F186" s="24"/>
      <c r="G186" s="21"/>
    </row>
    <row r="187" spans="1:7" ht="12" customHeight="1" x14ac:dyDescent="0.2">
      <c r="A187" s="25"/>
      <c r="B187" s="21"/>
      <c r="C187" s="22"/>
      <c r="D187" s="23"/>
      <c r="E187" s="24"/>
      <c r="F187" s="24"/>
      <c r="G187" s="21"/>
    </row>
    <row r="188" spans="1:7" ht="12" customHeight="1" x14ac:dyDescent="0.2">
      <c r="A188" s="20"/>
      <c r="B188" s="21"/>
      <c r="C188" s="22"/>
      <c r="D188" s="23"/>
      <c r="E188" s="24"/>
      <c r="F188" s="24"/>
      <c r="G188" s="21"/>
    </row>
    <row r="189" spans="1:7" ht="12" customHeight="1" x14ac:dyDescent="0.2">
      <c r="A189" s="20"/>
      <c r="B189" s="21"/>
      <c r="C189" s="22"/>
      <c r="D189" s="23"/>
      <c r="E189" s="24"/>
      <c r="F189" s="24"/>
      <c r="G189" s="21"/>
    </row>
    <row r="190" spans="1:7" ht="12" customHeight="1" x14ac:dyDescent="0.2">
      <c r="A190" s="20"/>
      <c r="B190" s="21"/>
      <c r="C190" s="22"/>
      <c r="D190" s="23"/>
      <c r="E190" s="24"/>
      <c r="F190" s="24"/>
      <c r="G190" s="21"/>
    </row>
    <row r="191" spans="1:7" ht="12" customHeight="1" x14ac:dyDescent="0.2">
      <c r="A191" s="20"/>
      <c r="B191" s="21"/>
      <c r="C191" s="22"/>
      <c r="D191" s="23"/>
      <c r="E191" s="24"/>
      <c r="F191" s="24"/>
      <c r="G191" s="21"/>
    </row>
    <row r="192" spans="1:7" ht="12" customHeight="1" x14ac:dyDescent="0.2">
      <c r="A192" s="20"/>
      <c r="B192" s="21"/>
      <c r="C192" s="22"/>
      <c r="D192" s="23"/>
      <c r="E192" s="24"/>
      <c r="F192" s="24"/>
      <c r="G192" s="21"/>
    </row>
    <row r="193" spans="1:7" ht="12" customHeight="1" x14ac:dyDescent="0.2">
      <c r="A193" s="20"/>
      <c r="B193" s="21"/>
      <c r="C193" s="22"/>
      <c r="D193" s="23"/>
      <c r="E193" s="24"/>
      <c r="F193" s="24"/>
      <c r="G193" s="21"/>
    </row>
    <row r="194" spans="1:7" ht="12" customHeight="1" x14ac:dyDescent="0.2">
      <c r="A194" s="20"/>
      <c r="B194" s="21"/>
      <c r="C194" s="22"/>
      <c r="D194" s="23"/>
      <c r="E194" s="24"/>
      <c r="F194" s="24"/>
      <c r="G194" s="21"/>
    </row>
    <row r="195" spans="1:7" ht="12" customHeight="1" x14ac:dyDescent="0.2">
      <c r="A195" s="20"/>
      <c r="B195" s="21"/>
      <c r="C195" s="22"/>
      <c r="D195" s="23"/>
      <c r="E195" s="24"/>
      <c r="F195" s="24"/>
      <c r="G195" s="21"/>
    </row>
    <row r="196" spans="1:7" ht="12" customHeight="1" x14ac:dyDescent="0.2">
      <c r="A196" s="20"/>
      <c r="B196" s="21"/>
      <c r="C196" s="22"/>
      <c r="D196" s="23"/>
      <c r="E196" s="24"/>
      <c r="F196" s="24"/>
      <c r="G196" s="21"/>
    </row>
    <row r="197" spans="1:7" ht="12" customHeight="1" x14ac:dyDescent="0.2">
      <c r="A197" s="20"/>
      <c r="B197" s="21"/>
      <c r="C197" s="22"/>
      <c r="D197" s="23"/>
      <c r="F197" s="24"/>
      <c r="G197" s="21"/>
    </row>
    <row r="198" spans="1:7" ht="12" customHeight="1" x14ac:dyDescent="0.2">
      <c r="A198" s="20"/>
      <c r="B198" s="21"/>
      <c r="C198" s="22"/>
      <c r="D198" s="23"/>
      <c r="E198" s="24"/>
      <c r="F198" s="24"/>
      <c r="G198" s="21"/>
    </row>
    <row r="199" spans="1:7" ht="12" customHeight="1" x14ac:dyDescent="0.2">
      <c r="A199" s="20"/>
      <c r="B199" s="21"/>
      <c r="C199" s="22"/>
      <c r="D199" s="23"/>
      <c r="E199" s="24"/>
      <c r="F199" s="24"/>
      <c r="G199" s="21"/>
    </row>
    <row r="200" spans="1:7" ht="12" customHeight="1" x14ac:dyDescent="0.2">
      <c r="A200" s="20"/>
      <c r="B200" s="21"/>
      <c r="C200" s="22"/>
      <c r="D200" s="23"/>
      <c r="E200" s="24"/>
      <c r="F200" s="24"/>
      <c r="G200" s="21"/>
    </row>
    <row r="201" spans="1:7" ht="12" customHeight="1" x14ac:dyDescent="0.2">
      <c r="A201" s="20"/>
      <c r="B201" s="21"/>
      <c r="C201" s="22"/>
      <c r="D201" s="23"/>
      <c r="E201" s="24"/>
      <c r="F201" s="24"/>
      <c r="G201" s="21"/>
    </row>
    <row r="202" spans="1:7" ht="12" customHeight="1" x14ac:dyDescent="0.2">
      <c r="A202" s="20"/>
      <c r="B202" s="21"/>
      <c r="C202" s="22"/>
      <c r="D202" s="23"/>
      <c r="E202" s="24"/>
      <c r="F202" s="24"/>
      <c r="G202" s="21"/>
    </row>
    <row r="203" spans="1:7" ht="12" customHeight="1" x14ac:dyDescent="0.2">
      <c r="A203" s="20"/>
      <c r="B203" s="21"/>
      <c r="C203" s="22"/>
      <c r="D203" s="23"/>
      <c r="E203" s="24"/>
      <c r="F203" s="24"/>
      <c r="G203" s="21"/>
    </row>
    <row r="204" spans="1:7" ht="12" customHeight="1" x14ac:dyDescent="0.2">
      <c r="A204" s="20"/>
      <c r="B204" s="21"/>
      <c r="C204" s="22"/>
      <c r="D204" s="23"/>
      <c r="E204" s="24"/>
      <c r="F204" s="24"/>
      <c r="G204" s="21"/>
    </row>
    <row r="205" spans="1:7" ht="12" customHeight="1" x14ac:dyDescent="0.2">
      <c r="A205" s="20"/>
      <c r="B205" s="21"/>
      <c r="C205" s="22"/>
      <c r="D205" s="23"/>
      <c r="E205" s="24"/>
      <c r="F205" s="24"/>
      <c r="G205" s="21"/>
    </row>
    <row r="206" spans="1:7" ht="12" customHeight="1" x14ac:dyDescent="0.2">
      <c r="A206" s="20"/>
      <c r="B206" s="21"/>
      <c r="C206" s="22"/>
      <c r="D206" s="23"/>
      <c r="E206" s="24"/>
      <c r="F206" s="24"/>
      <c r="G206" s="21"/>
    </row>
    <row r="207" spans="1:7" ht="12" customHeight="1" x14ac:dyDescent="0.2">
      <c r="A207" s="20"/>
      <c r="B207" s="21"/>
      <c r="C207" s="22"/>
      <c r="D207" s="23"/>
      <c r="E207" s="24"/>
      <c r="F207" s="24"/>
      <c r="G207" s="21"/>
    </row>
    <row r="208" spans="1:7" ht="12" customHeight="1" x14ac:dyDescent="0.2">
      <c r="A208" s="20"/>
      <c r="B208" s="21"/>
      <c r="C208" s="22"/>
      <c r="D208" s="23"/>
      <c r="E208" s="24"/>
      <c r="F208" s="24"/>
      <c r="G208" s="21"/>
    </row>
    <row r="209" spans="1:7" ht="12" customHeight="1" x14ac:dyDescent="0.2">
      <c r="A209" s="20"/>
      <c r="B209" s="21"/>
      <c r="C209" s="22"/>
      <c r="D209" s="23"/>
      <c r="E209" s="24"/>
      <c r="F209" s="24"/>
      <c r="G209" s="21"/>
    </row>
    <row r="210" spans="1:7" ht="12" customHeight="1" x14ac:dyDescent="0.2">
      <c r="A210" s="20"/>
      <c r="B210" s="21"/>
      <c r="C210" s="22"/>
      <c r="D210" s="23"/>
      <c r="E210" s="24"/>
      <c r="F210" s="24"/>
      <c r="G210" s="21"/>
    </row>
    <row r="211" spans="1:7" ht="12" customHeight="1" x14ac:dyDescent="0.2">
      <c r="A211" s="20"/>
      <c r="B211" s="21"/>
      <c r="C211" s="22"/>
      <c r="D211" s="23"/>
      <c r="E211" s="24"/>
      <c r="F211" s="24"/>
      <c r="G211" s="21"/>
    </row>
    <row r="212" spans="1:7" ht="12" customHeight="1" x14ac:dyDescent="0.2">
      <c r="A212" s="20"/>
      <c r="B212" s="21"/>
      <c r="C212" s="22"/>
      <c r="D212" s="23"/>
      <c r="E212" s="24"/>
      <c r="F212" s="24"/>
      <c r="G212" s="21"/>
    </row>
    <row r="213" spans="1:7" ht="12" customHeight="1" x14ac:dyDescent="0.2">
      <c r="A213" s="20"/>
      <c r="B213" s="21"/>
      <c r="C213" s="22"/>
      <c r="D213" s="23"/>
      <c r="E213" s="24"/>
      <c r="F213" s="24"/>
      <c r="G213" s="21"/>
    </row>
    <row r="214" spans="1:7" ht="12" customHeight="1" x14ac:dyDescent="0.2">
      <c r="A214" s="20"/>
      <c r="B214" s="21"/>
      <c r="C214" s="22"/>
      <c r="D214" s="23"/>
      <c r="E214" s="24"/>
      <c r="F214" s="24"/>
      <c r="G214" s="21"/>
    </row>
    <row r="215" spans="1:7" ht="12" customHeight="1" x14ac:dyDescent="0.2">
      <c r="A215" s="20"/>
      <c r="B215" s="21"/>
      <c r="C215" s="22"/>
      <c r="D215" s="23"/>
      <c r="E215" s="24"/>
      <c r="F215" s="24"/>
      <c r="G215" s="21"/>
    </row>
    <row r="216" spans="1:7" ht="12" customHeight="1" x14ac:dyDescent="0.2">
      <c r="A216" s="20"/>
      <c r="B216" s="21"/>
      <c r="C216" s="22"/>
      <c r="D216" s="23"/>
      <c r="E216" s="24"/>
      <c r="F216" s="24"/>
      <c r="G216" s="21"/>
    </row>
    <row r="217" spans="1:7" ht="12" customHeight="1" x14ac:dyDescent="0.2">
      <c r="A217" s="20"/>
      <c r="B217" s="21"/>
      <c r="C217" s="22"/>
      <c r="D217" s="23"/>
      <c r="E217" s="24"/>
      <c r="F217" s="24"/>
      <c r="G217" s="21"/>
    </row>
    <row r="218" spans="1:7" ht="12" customHeight="1" x14ac:dyDescent="0.2">
      <c r="A218" s="20"/>
      <c r="B218" s="21"/>
      <c r="C218" s="22"/>
      <c r="D218" s="23"/>
      <c r="E218" s="24"/>
      <c r="F218" s="24"/>
      <c r="G218" s="21"/>
    </row>
    <row r="219" spans="1:7" ht="12" customHeight="1" x14ac:dyDescent="0.2">
      <c r="A219" s="20"/>
      <c r="B219" s="21"/>
      <c r="C219" s="22"/>
      <c r="D219" s="23"/>
      <c r="E219" s="24"/>
      <c r="F219" s="24"/>
      <c r="G219" s="21"/>
    </row>
    <row r="220" spans="1:7" ht="12" customHeight="1" x14ac:dyDescent="0.2">
      <c r="A220" s="20"/>
      <c r="B220" s="21"/>
      <c r="C220" s="22"/>
      <c r="D220" s="23"/>
      <c r="E220" s="24"/>
      <c r="F220" s="24"/>
      <c r="G220" s="21"/>
    </row>
    <row r="221" spans="1:7" ht="12" customHeight="1" x14ac:dyDescent="0.2">
      <c r="A221" s="20"/>
      <c r="B221" s="21"/>
      <c r="C221" s="22"/>
      <c r="D221" s="23"/>
      <c r="E221" s="24"/>
      <c r="F221" s="24"/>
      <c r="G221" s="21"/>
    </row>
    <row r="222" spans="1:7" ht="12" customHeight="1" x14ac:dyDescent="0.2">
      <c r="A222" s="20"/>
      <c r="B222" s="21"/>
      <c r="C222" s="22"/>
      <c r="D222" s="23"/>
      <c r="E222" s="24"/>
      <c r="F222" s="24"/>
      <c r="G222" s="21"/>
    </row>
    <row r="223" spans="1:7" ht="12" customHeight="1" x14ac:dyDescent="0.2">
      <c r="A223" s="20"/>
      <c r="B223" s="21"/>
      <c r="C223" s="22"/>
      <c r="D223" s="23"/>
      <c r="E223" s="24"/>
      <c r="F223" s="24"/>
      <c r="G223" s="21"/>
    </row>
    <row r="224" spans="1:7" ht="12" customHeight="1" x14ac:dyDescent="0.2">
      <c r="A224" s="20"/>
      <c r="B224" s="21"/>
      <c r="C224" s="22"/>
      <c r="D224" s="23"/>
      <c r="E224" s="24"/>
      <c r="F224" s="24"/>
      <c r="G224" s="21"/>
    </row>
    <row r="225" spans="1:7" ht="12" customHeight="1" x14ac:dyDescent="0.2">
      <c r="A225" s="20"/>
      <c r="B225" s="21"/>
      <c r="C225" s="22"/>
      <c r="D225" s="23"/>
      <c r="E225" s="24"/>
      <c r="F225" s="24"/>
      <c r="G225" s="21"/>
    </row>
    <row r="226" spans="1:7" ht="12" customHeight="1" x14ac:dyDescent="0.2">
      <c r="A226" s="20"/>
      <c r="B226" s="21"/>
      <c r="C226" s="22"/>
      <c r="D226" s="23"/>
      <c r="E226" s="24"/>
      <c r="F226" s="24"/>
      <c r="G226" s="21"/>
    </row>
    <row r="227" spans="1:7" ht="12" customHeight="1" x14ac:dyDescent="0.2">
      <c r="A227" s="20"/>
      <c r="B227" s="21"/>
      <c r="C227" s="22"/>
      <c r="D227" s="23"/>
      <c r="E227" s="24"/>
      <c r="F227" s="24"/>
      <c r="G227" s="21"/>
    </row>
    <row r="228" spans="1:7" ht="12" customHeight="1" x14ac:dyDescent="0.2">
      <c r="A228" s="20"/>
      <c r="B228" s="21"/>
      <c r="C228" s="22"/>
      <c r="D228" s="23"/>
      <c r="E228" s="24"/>
      <c r="F228" s="24"/>
      <c r="G228" s="21"/>
    </row>
    <row r="229" spans="1:7" ht="12" customHeight="1" x14ac:dyDescent="0.2">
      <c r="A229" s="20"/>
      <c r="B229" s="21"/>
      <c r="C229" s="22"/>
      <c r="D229" s="23"/>
      <c r="E229" s="24"/>
      <c r="F229" s="24"/>
      <c r="G229" s="21"/>
    </row>
    <row r="230" spans="1:7" ht="12" customHeight="1" x14ac:dyDescent="0.2">
      <c r="A230" s="20"/>
      <c r="B230" s="21"/>
      <c r="C230" s="22"/>
      <c r="D230" s="23"/>
      <c r="E230" s="24"/>
      <c r="F230" s="24"/>
      <c r="G230" s="21"/>
    </row>
    <row r="231" spans="1:7" ht="12" customHeight="1" x14ac:dyDescent="0.2">
      <c r="A231" s="20"/>
      <c r="B231" s="21"/>
      <c r="C231" s="22"/>
      <c r="D231" s="23"/>
      <c r="E231" s="24"/>
      <c r="F231" s="24"/>
      <c r="G231" s="21"/>
    </row>
    <row r="232" spans="1:7" ht="12" customHeight="1" x14ac:dyDescent="0.2">
      <c r="A232" s="20"/>
      <c r="B232" s="21"/>
      <c r="C232" s="22"/>
      <c r="D232" s="23"/>
      <c r="E232" s="24"/>
      <c r="F232" s="24"/>
      <c r="G232" s="21"/>
    </row>
    <row r="233" spans="1:7" ht="12" customHeight="1" x14ac:dyDescent="0.2">
      <c r="A233" s="20"/>
      <c r="B233" s="21"/>
      <c r="C233" s="22"/>
      <c r="D233" s="23"/>
      <c r="E233" s="24"/>
      <c r="F233" s="24"/>
      <c r="G233" s="21"/>
    </row>
    <row r="234" spans="1:7" ht="12" customHeight="1" x14ac:dyDescent="0.2">
      <c r="A234" s="20"/>
      <c r="B234" s="21"/>
      <c r="C234" s="22"/>
      <c r="D234" s="23"/>
      <c r="E234" s="24"/>
      <c r="F234" s="24"/>
      <c r="G234" s="21"/>
    </row>
    <row r="235" spans="1:7" ht="12" customHeight="1" x14ac:dyDescent="0.2">
      <c r="A235" s="20"/>
      <c r="B235" s="21"/>
      <c r="C235" s="22"/>
      <c r="D235" s="23"/>
      <c r="E235" s="24"/>
      <c r="F235" s="24"/>
      <c r="G235" s="21"/>
    </row>
    <row r="236" spans="1:7" ht="12" customHeight="1" x14ac:dyDescent="0.2">
      <c r="A236" s="20"/>
      <c r="B236" s="21"/>
      <c r="C236" s="22"/>
      <c r="D236" s="23"/>
      <c r="E236" s="24"/>
      <c r="F236" s="24"/>
      <c r="G236" s="21"/>
    </row>
    <row r="237" spans="1:7" ht="12" customHeight="1" x14ac:dyDescent="0.2">
      <c r="A237" s="20"/>
      <c r="B237" s="21"/>
      <c r="C237" s="22"/>
      <c r="D237" s="23"/>
      <c r="E237" s="24"/>
      <c r="F237" s="24"/>
      <c r="G237" s="21"/>
    </row>
    <row r="238" spans="1:7" ht="12" customHeight="1" x14ac:dyDescent="0.2">
      <c r="A238" s="20"/>
      <c r="B238" s="21"/>
      <c r="C238" s="22"/>
      <c r="D238" s="23"/>
      <c r="E238" s="24"/>
      <c r="F238" s="24"/>
      <c r="G238" s="21"/>
    </row>
    <row r="239" spans="1:7" ht="12" customHeight="1" x14ac:dyDescent="0.2">
      <c r="A239" s="20"/>
      <c r="B239" s="21"/>
      <c r="C239" s="22"/>
      <c r="D239" s="23"/>
      <c r="E239" s="24"/>
      <c r="F239" s="24"/>
      <c r="G239" s="21"/>
    </row>
    <row r="240" spans="1:7" ht="12" customHeight="1" x14ac:dyDescent="0.2">
      <c r="A240" s="20"/>
      <c r="B240" s="21"/>
      <c r="C240" s="22"/>
      <c r="D240" s="23"/>
      <c r="E240" s="24"/>
      <c r="F240" s="24"/>
      <c r="G240" s="21"/>
    </row>
    <row r="241" spans="1:7" ht="12" customHeight="1" x14ac:dyDescent="0.2">
      <c r="A241" s="20"/>
      <c r="B241" s="21"/>
      <c r="C241" s="22"/>
      <c r="D241" s="23"/>
      <c r="E241" s="24"/>
      <c r="F241" s="24"/>
      <c r="G241" s="21"/>
    </row>
    <row r="242" spans="1:7" ht="12" customHeight="1" x14ac:dyDescent="0.2">
      <c r="A242" s="20"/>
      <c r="B242" s="21"/>
      <c r="C242" s="22"/>
      <c r="D242" s="23"/>
      <c r="E242" s="24"/>
      <c r="F242" s="24"/>
      <c r="G242" s="21"/>
    </row>
    <row r="243" spans="1:7" ht="12" customHeight="1" x14ac:dyDescent="0.2">
      <c r="A243" s="20"/>
      <c r="B243" s="21"/>
      <c r="C243" s="22"/>
      <c r="D243" s="23"/>
      <c r="E243" s="24"/>
      <c r="F243" s="24"/>
      <c r="G243" s="21"/>
    </row>
    <row r="244" spans="1:7" ht="12" customHeight="1" x14ac:dyDescent="0.2">
      <c r="A244" s="20"/>
      <c r="B244" s="21"/>
      <c r="C244" s="22"/>
      <c r="D244" s="23"/>
      <c r="E244" s="24"/>
      <c r="F244" s="24"/>
      <c r="G244" s="21"/>
    </row>
    <row r="245" spans="1:7" ht="12" customHeight="1" x14ac:dyDescent="0.2">
      <c r="A245" s="20"/>
      <c r="B245" s="21"/>
      <c r="C245" s="22"/>
      <c r="D245" s="23"/>
      <c r="E245" s="24"/>
      <c r="F245" s="24"/>
      <c r="G245" s="21"/>
    </row>
    <row r="246" spans="1:7" ht="12" customHeight="1" x14ac:dyDescent="0.2">
      <c r="A246" s="20"/>
      <c r="B246" s="21"/>
      <c r="C246" s="22"/>
      <c r="D246" s="23"/>
      <c r="E246" s="24"/>
      <c r="F246" s="24"/>
      <c r="G246" s="21"/>
    </row>
    <row r="247" spans="1:7" ht="12" customHeight="1" x14ac:dyDescent="0.2">
      <c r="A247" s="20"/>
      <c r="B247" s="21"/>
      <c r="C247" s="22"/>
      <c r="D247" s="23"/>
      <c r="E247" s="24"/>
      <c r="F247" s="24"/>
      <c r="G247" s="21"/>
    </row>
    <row r="248" spans="1:7" ht="12" customHeight="1" x14ac:dyDescent="0.2">
      <c r="A248" s="20"/>
      <c r="B248" s="21"/>
      <c r="C248" s="22"/>
      <c r="D248" s="23"/>
      <c r="E248" s="24"/>
      <c r="F248" s="24"/>
      <c r="G248" s="21"/>
    </row>
    <row r="249" spans="1:7" ht="12" customHeight="1" x14ac:dyDescent="0.2">
      <c r="A249" s="20"/>
      <c r="B249" s="21"/>
      <c r="C249" s="22"/>
      <c r="D249" s="23"/>
      <c r="E249" s="24"/>
      <c r="F249" s="24"/>
      <c r="G249" s="21"/>
    </row>
    <row r="250" spans="1:7" ht="12" customHeight="1" x14ac:dyDescent="0.2">
      <c r="A250" s="20"/>
      <c r="B250" s="21"/>
      <c r="C250" s="22"/>
      <c r="D250" s="23"/>
      <c r="E250" s="24"/>
      <c r="F250" s="24"/>
      <c r="G250" s="21"/>
    </row>
    <row r="251" spans="1:7" ht="12" customHeight="1" x14ac:dyDescent="0.2">
      <c r="A251" s="20"/>
      <c r="B251" s="21"/>
      <c r="C251" s="22"/>
      <c r="D251" s="23"/>
      <c r="E251" s="24"/>
      <c r="F251" s="24"/>
      <c r="G251" s="21"/>
    </row>
    <row r="252" spans="1:7" ht="12" customHeight="1" x14ac:dyDescent="0.2">
      <c r="A252" s="20"/>
      <c r="B252" s="21"/>
      <c r="C252" s="22"/>
      <c r="D252" s="23"/>
      <c r="E252" s="24"/>
      <c r="F252" s="24"/>
      <c r="G252" s="21"/>
    </row>
    <row r="253" spans="1:7" ht="12" customHeight="1" x14ac:dyDescent="0.2">
      <c r="A253" s="20"/>
      <c r="B253" s="21"/>
      <c r="C253" s="22"/>
      <c r="D253" s="23"/>
      <c r="E253" s="24"/>
      <c r="F253" s="24"/>
      <c r="G253" s="21"/>
    </row>
    <row r="254" spans="1:7" ht="12" customHeight="1" x14ac:dyDescent="0.2">
      <c r="A254" s="20"/>
      <c r="B254" s="21"/>
      <c r="C254" s="22"/>
      <c r="D254" s="23"/>
      <c r="E254" s="24"/>
      <c r="F254" s="24"/>
      <c r="G254" s="21"/>
    </row>
    <row r="255" spans="1:7" ht="12" customHeight="1" x14ac:dyDescent="0.2">
      <c r="A255" s="20"/>
      <c r="B255" s="21"/>
      <c r="C255" s="22"/>
      <c r="D255" s="23"/>
      <c r="E255" s="24"/>
      <c r="F255" s="24"/>
      <c r="G255" s="21"/>
    </row>
    <row r="256" spans="1:7" ht="12" customHeight="1" x14ac:dyDescent="0.2">
      <c r="A256" s="20"/>
      <c r="B256" s="21"/>
      <c r="C256" s="22"/>
      <c r="D256" s="23"/>
      <c r="E256" s="24"/>
      <c r="F256" s="24"/>
      <c r="G256" s="21"/>
    </row>
    <row r="257" spans="1:7" ht="12" customHeight="1" x14ac:dyDescent="0.2">
      <c r="A257" s="20"/>
      <c r="B257" s="21"/>
      <c r="C257" s="22"/>
      <c r="D257" s="23"/>
      <c r="E257" s="24"/>
      <c r="F257" s="24"/>
      <c r="G257" s="21"/>
    </row>
    <row r="258" spans="1:7" ht="12" customHeight="1" x14ac:dyDescent="0.2">
      <c r="A258" s="20"/>
      <c r="B258" s="21"/>
      <c r="C258" s="22"/>
      <c r="D258" s="23"/>
      <c r="E258" s="24"/>
      <c r="F258" s="24"/>
      <c r="G258" s="21"/>
    </row>
    <row r="259" spans="1:7" ht="12" customHeight="1" x14ac:dyDescent="0.2">
      <c r="A259" s="20"/>
      <c r="B259" s="21"/>
      <c r="C259" s="22"/>
      <c r="D259" s="23"/>
      <c r="E259" s="24"/>
      <c r="F259" s="24"/>
      <c r="G259" s="21"/>
    </row>
    <row r="260" spans="1:7" ht="12" customHeight="1" x14ac:dyDescent="0.2">
      <c r="A260" s="20"/>
      <c r="B260" s="21"/>
      <c r="C260" s="22"/>
      <c r="D260" s="23"/>
      <c r="E260" s="24"/>
      <c r="F260" s="24"/>
      <c r="G260" s="21"/>
    </row>
    <row r="261" spans="1:7" ht="12" customHeight="1" x14ac:dyDescent="0.2">
      <c r="A261" s="20"/>
      <c r="B261" s="21"/>
      <c r="C261" s="22"/>
      <c r="D261" s="23"/>
      <c r="E261" s="24"/>
      <c r="F261" s="24"/>
      <c r="G261" s="21"/>
    </row>
    <row r="262" spans="1:7" ht="12" customHeight="1" x14ac:dyDescent="0.2">
      <c r="A262" s="20"/>
      <c r="B262" s="21"/>
      <c r="C262" s="22"/>
      <c r="D262" s="23"/>
      <c r="E262" s="24"/>
      <c r="F262" s="24"/>
      <c r="G262" s="21"/>
    </row>
    <row r="263" spans="1:7" ht="12" customHeight="1" x14ac:dyDescent="0.2">
      <c r="A263" s="20"/>
      <c r="B263" s="21"/>
      <c r="C263" s="22"/>
      <c r="D263" s="23"/>
      <c r="E263" s="24"/>
      <c r="F263" s="24"/>
      <c r="G263" s="21"/>
    </row>
    <row r="264" spans="1:7" ht="12" customHeight="1" x14ac:dyDescent="0.2">
      <c r="A264" s="20"/>
      <c r="B264" s="21"/>
      <c r="C264" s="22"/>
      <c r="D264" s="23"/>
      <c r="E264" s="24"/>
      <c r="F264" s="24"/>
      <c r="G264" s="21"/>
    </row>
    <row r="265" spans="1:7" ht="12" customHeight="1" x14ac:dyDescent="0.2">
      <c r="A265" s="20"/>
      <c r="B265" s="21"/>
      <c r="C265" s="22"/>
      <c r="D265" s="23"/>
      <c r="E265" s="24"/>
      <c r="F265" s="24"/>
      <c r="G265" s="21"/>
    </row>
    <row r="266" spans="1:7" ht="12" customHeight="1" x14ac:dyDescent="0.2">
      <c r="A266" s="20"/>
      <c r="B266" s="21"/>
      <c r="C266" s="22"/>
      <c r="D266" s="23"/>
      <c r="E266" s="24"/>
      <c r="F266" s="24"/>
      <c r="G266" s="21"/>
    </row>
    <row r="267" spans="1:7" ht="12" customHeight="1" x14ac:dyDescent="0.2">
      <c r="A267" s="20"/>
      <c r="B267" s="21"/>
      <c r="C267" s="22"/>
      <c r="D267" s="23"/>
      <c r="E267" s="24"/>
      <c r="F267" s="24"/>
      <c r="G267" s="21"/>
    </row>
    <row r="268" spans="1:7" ht="12" customHeight="1" x14ac:dyDescent="0.2">
      <c r="A268" s="20"/>
      <c r="B268" s="21"/>
      <c r="C268" s="22"/>
      <c r="D268" s="23"/>
      <c r="E268" s="24"/>
      <c r="F268" s="24"/>
      <c r="G268" s="21"/>
    </row>
    <row r="269" spans="1:7" ht="12" customHeight="1" x14ac:dyDescent="0.2">
      <c r="A269" s="20"/>
      <c r="B269" s="21"/>
      <c r="C269" s="22"/>
      <c r="D269" s="23"/>
      <c r="E269" s="24"/>
      <c r="F269" s="24"/>
      <c r="G269" s="21"/>
    </row>
    <row r="270" spans="1:7" ht="12" customHeight="1" x14ac:dyDescent="0.2">
      <c r="A270" s="20"/>
      <c r="B270" s="21"/>
      <c r="C270" s="22"/>
      <c r="D270" s="23"/>
      <c r="E270" s="24"/>
      <c r="F270" s="24"/>
      <c r="G270" s="21"/>
    </row>
    <row r="271" spans="1:7" ht="12" customHeight="1" x14ac:dyDescent="0.2">
      <c r="A271" s="20"/>
      <c r="B271" s="21"/>
      <c r="C271" s="22"/>
      <c r="D271" s="23"/>
      <c r="E271" s="24"/>
      <c r="F271" s="24"/>
      <c r="G271" s="21"/>
    </row>
    <row r="272" spans="1:7" ht="12" customHeight="1" x14ac:dyDescent="0.2">
      <c r="A272" s="20"/>
      <c r="B272" s="21"/>
      <c r="C272" s="22"/>
      <c r="D272" s="23"/>
      <c r="E272" s="24"/>
      <c r="F272" s="24"/>
      <c r="G272" s="21"/>
    </row>
    <row r="273" spans="1:7" ht="12" customHeight="1" x14ac:dyDescent="0.2">
      <c r="A273" s="20"/>
      <c r="B273" s="21"/>
      <c r="C273" s="22"/>
      <c r="D273" s="23"/>
      <c r="E273" s="24"/>
      <c r="F273" s="24"/>
      <c r="G273" s="21"/>
    </row>
    <row r="274" spans="1:7" ht="12" customHeight="1" x14ac:dyDescent="0.2">
      <c r="A274" s="20"/>
      <c r="B274" s="21"/>
      <c r="C274" s="22"/>
      <c r="D274" s="23"/>
      <c r="E274" s="24"/>
      <c r="F274" s="24"/>
      <c r="G274" s="21"/>
    </row>
    <row r="275" spans="1:7" ht="12" customHeight="1" x14ac:dyDescent="0.2">
      <c r="A275" s="20"/>
      <c r="B275" s="21"/>
      <c r="C275" s="22"/>
      <c r="D275" s="23"/>
      <c r="E275" s="24"/>
      <c r="F275" s="24"/>
      <c r="G275" s="21"/>
    </row>
    <row r="276" spans="1:7" ht="12" customHeight="1" x14ac:dyDescent="0.2">
      <c r="A276" s="20"/>
      <c r="B276" s="21"/>
      <c r="C276" s="22"/>
      <c r="D276" s="23"/>
      <c r="E276" s="24"/>
      <c r="F276" s="24"/>
      <c r="G276" s="21"/>
    </row>
    <row r="277" spans="1:7" ht="12" customHeight="1" x14ac:dyDescent="0.2">
      <c r="A277" s="20"/>
      <c r="B277" s="21"/>
      <c r="C277" s="22"/>
      <c r="D277" s="23"/>
      <c r="E277" s="24"/>
      <c r="F277" s="24"/>
      <c r="G277" s="21"/>
    </row>
    <row r="278" spans="1:7" ht="12" customHeight="1" x14ac:dyDescent="0.2">
      <c r="A278" s="20"/>
      <c r="B278" s="21"/>
      <c r="C278" s="22"/>
      <c r="D278" s="23"/>
      <c r="E278" s="24"/>
      <c r="F278" s="24"/>
      <c r="G278" s="21"/>
    </row>
    <row r="279" spans="1:7" ht="12" customHeight="1" x14ac:dyDescent="0.2">
      <c r="A279" s="20"/>
      <c r="B279" s="21"/>
      <c r="C279" s="22"/>
      <c r="D279" s="23"/>
      <c r="E279" s="24"/>
      <c r="F279" s="24"/>
      <c r="G279" s="21"/>
    </row>
    <row r="280" spans="1:7" ht="12" customHeight="1" x14ac:dyDescent="0.2">
      <c r="A280" s="20"/>
      <c r="B280" s="21"/>
      <c r="C280" s="22"/>
      <c r="D280" s="23"/>
      <c r="E280" s="24"/>
      <c r="F280" s="24"/>
      <c r="G280" s="21"/>
    </row>
    <row r="281" spans="1:7" ht="12" customHeight="1" x14ac:dyDescent="0.2">
      <c r="A281" s="20"/>
      <c r="B281" s="21"/>
      <c r="C281" s="22"/>
      <c r="D281" s="23"/>
      <c r="E281" s="24"/>
      <c r="F281" s="24"/>
      <c r="G281" s="21"/>
    </row>
    <row r="282" spans="1:7" ht="12" customHeight="1" x14ac:dyDescent="0.2">
      <c r="A282" s="20"/>
      <c r="B282" s="21"/>
      <c r="C282" s="22"/>
      <c r="D282" s="23"/>
      <c r="E282" s="24"/>
      <c r="F282" s="24"/>
      <c r="G282" s="21"/>
    </row>
    <row r="283" spans="1:7" ht="12" customHeight="1" x14ac:dyDescent="0.2">
      <c r="A283" s="20"/>
      <c r="B283" s="21"/>
      <c r="C283" s="22"/>
      <c r="D283" s="23"/>
      <c r="E283" s="24"/>
      <c r="F283" s="24"/>
      <c r="G283" s="21"/>
    </row>
    <row r="284" spans="1:7" ht="12" customHeight="1" x14ac:dyDescent="0.2">
      <c r="A284" s="20"/>
      <c r="B284" s="21"/>
      <c r="C284" s="22"/>
      <c r="D284" s="23"/>
      <c r="E284" s="24"/>
      <c r="F284" s="24"/>
      <c r="G284" s="21"/>
    </row>
    <row r="285" spans="1:7" ht="12" customHeight="1" x14ac:dyDescent="0.2">
      <c r="A285" s="20"/>
      <c r="B285" s="21"/>
      <c r="C285" s="22"/>
      <c r="D285" s="23"/>
      <c r="E285" s="24"/>
      <c r="F285" s="24"/>
      <c r="G285" s="21"/>
    </row>
    <row r="286" spans="1:7" ht="12" customHeight="1" x14ac:dyDescent="0.2">
      <c r="A286" s="20"/>
      <c r="B286" s="21"/>
      <c r="C286" s="22"/>
      <c r="D286" s="23"/>
      <c r="E286" s="24"/>
      <c r="F286" s="24"/>
      <c r="G286" s="21"/>
    </row>
    <row r="287" spans="1:7" ht="12" customHeight="1" x14ac:dyDescent="0.2">
      <c r="A287" s="20"/>
      <c r="B287" s="21"/>
      <c r="C287" s="22"/>
      <c r="D287" s="23"/>
      <c r="E287" s="24"/>
      <c r="F287" s="24"/>
      <c r="G287" s="21"/>
    </row>
    <row r="288" spans="1:7" ht="12" customHeight="1" x14ac:dyDescent="0.2">
      <c r="A288" s="20"/>
      <c r="B288" s="21"/>
      <c r="C288" s="22"/>
      <c r="D288" s="23"/>
      <c r="E288" s="24"/>
      <c r="F288" s="24"/>
      <c r="G288" s="21"/>
    </row>
    <row r="289" spans="1:7" ht="12" customHeight="1" x14ac:dyDescent="0.2">
      <c r="A289" s="20"/>
      <c r="B289" s="21"/>
      <c r="C289" s="22"/>
      <c r="D289" s="23"/>
      <c r="E289" s="24"/>
      <c r="F289" s="24"/>
      <c r="G289" s="21"/>
    </row>
    <row r="290" spans="1:7" ht="12" customHeight="1" x14ac:dyDescent="0.2">
      <c r="A290" s="20"/>
      <c r="B290" s="21"/>
      <c r="C290" s="22"/>
      <c r="D290" s="23"/>
      <c r="E290" s="24"/>
      <c r="F290" s="24"/>
      <c r="G290" s="21"/>
    </row>
    <row r="291" spans="1:7" ht="12" customHeight="1" x14ac:dyDescent="0.2">
      <c r="A291" s="20"/>
      <c r="B291" s="21"/>
      <c r="C291" s="22"/>
      <c r="D291" s="23"/>
      <c r="E291" s="24"/>
      <c r="F291" s="24"/>
      <c r="G291" s="21"/>
    </row>
    <row r="292" spans="1:7" ht="12" customHeight="1" x14ac:dyDescent="0.2">
      <c r="A292" s="20"/>
      <c r="B292" s="21"/>
      <c r="C292" s="22"/>
      <c r="D292" s="23"/>
      <c r="E292" s="24"/>
      <c r="F292" s="24"/>
      <c r="G292" s="21"/>
    </row>
    <row r="293" spans="1:7" ht="12" customHeight="1" x14ac:dyDescent="0.2">
      <c r="A293" s="20"/>
      <c r="B293" s="21"/>
      <c r="C293" s="22"/>
      <c r="D293" s="23"/>
      <c r="E293" s="24"/>
      <c r="F293" s="24"/>
      <c r="G293" s="21"/>
    </row>
    <row r="294" spans="1:7" ht="12" customHeight="1" x14ac:dyDescent="0.2">
      <c r="A294" s="20"/>
      <c r="B294" s="21"/>
      <c r="C294" s="22"/>
      <c r="D294" s="23"/>
      <c r="E294" s="24"/>
      <c r="F294" s="24"/>
      <c r="G294" s="21"/>
    </row>
    <row r="295" spans="1:7" ht="12" customHeight="1" x14ac:dyDescent="0.2">
      <c r="A295" s="20"/>
      <c r="B295" s="21"/>
      <c r="C295" s="22"/>
      <c r="D295" s="23"/>
      <c r="E295" s="24"/>
      <c r="F295" s="24"/>
      <c r="G295" s="21"/>
    </row>
    <row r="296" spans="1:7" ht="12" customHeight="1" x14ac:dyDescent="0.2">
      <c r="A296" s="20"/>
      <c r="B296" s="21"/>
      <c r="C296" s="22"/>
      <c r="D296" s="23"/>
      <c r="E296" s="24"/>
      <c r="F296" s="24"/>
      <c r="G296" s="21"/>
    </row>
    <row r="297" spans="1:7" ht="12" customHeight="1" x14ac:dyDescent="0.2">
      <c r="A297" s="20"/>
      <c r="B297" s="21"/>
      <c r="C297" s="22"/>
      <c r="D297" s="23"/>
      <c r="E297" s="24"/>
      <c r="F297" s="24"/>
      <c r="G297" s="21"/>
    </row>
    <row r="298" spans="1:7" ht="12" customHeight="1" x14ac:dyDescent="0.2">
      <c r="A298" s="20"/>
      <c r="B298" s="21"/>
      <c r="C298" s="22"/>
      <c r="D298" s="23"/>
      <c r="E298" s="24"/>
      <c r="F298" s="24"/>
      <c r="G298" s="21"/>
    </row>
    <row r="299" spans="1:7" ht="12" customHeight="1" x14ac:dyDescent="0.2">
      <c r="A299" s="20"/>
      <c r="B299" s="21"/>
      <c r="C299" s="22"/>
      <c r="D299" s="23"/>
      <c r="E299" s="24"/>
      <c r="F299" s="24"/>
      <c r="G299" s="21"/>
    </row>
    <row r="300" spans="1:7" ht="12" customHeight="1" x14ac:dyDescent="0.2">
      <c r="A300" s="20"/>
      <c r="B300" s="21"/>
      <c r="C300" s="22"/>
      <c r="D300" s="23"/>
      <c r="E300" s="24"/>
      <c r="F300" s="24"/>
      <c r="G300" s="21"/>
    </row>
    <row r="301" spans="1:7" ht="12" customHeight="1" x14ac:dyDescent="0.2">
      <c r="A301" s="20"/>
      <c r="B301" s="21"/>
      <c r="C301" s="22"/>
      <c r="D301" s="23"/>
      <c r="E301" s="24"/>
      <c r="F301" s="24"/>
      <c r="G301" s="21"/>
    </row>
    <row r="302" spans="1:7" ht="12" customHeight="1" x14ac:dyDescent="0.2">
      <c r="A302" s="20"/>
      <c r="B302" s="21"/>
      <c r="C302" s="22"/>
      <c r="D302" s="23"/>
      <c r="E302" s="24"/>
      <c r="F302" s="24"/>
      <c r="G302" s="21"/>
    </row>
    <row r="303" spans="1:7" ht="12" customHeight="1" x14ac:dyDescent="0.2">
      <c r="A303" s="20"/>
      <c r="B303" s="21"/>
      <c r="C303" s="22"/>
      <c r="D303" s="23"/>
      <c r="E303" s="24"/>
      <c r="F303" s="24"/>
      <c r="G303" s="21"/>
    </row>
    <row r="304" spans="1:7" ht="12" customHeight="1" x14ac:dyDescent="0.2">
      <c r="A304" s="20"/>
      <c r="B304" s="21"/>
      <c r="C304" s="22"/>
      <c r="D304" s="23"/>
      <c r="E304" s="24"/>
      <c r="F304" s="24"/>
      <c r="G304" s="21"/>
    </row>
    <row r="305" spans="1:7" ht="12" customHeight="1" x14ac:dyDescent="0.2">
      <c r="A305" s="20"/>
      <c r="B305" s="21"/>
      <c r="C305" s="22"/>
      <c r="D305" s="23"/>
      <c r="E305" s="24"/>
      <c r="F305" s="24"/>
      <c r="G305" s="21"/>
    </row>
    <row r="306" spans="1:7" ht="12" customHeight="1" x14ac:dyDescent="0.2">
      <c r="A306" s="20"/>
      <c r="B306" s="21"/>
      <c r="C306" s="22"/>
      <c r="D306" s="23"/>
      <c r="E306" s="24"/>
      <c r="F306" s="24"/>
      <c r="G306" s="21"/>
    </row>
    <row r="307" spans="1:7" ht="12" customHeight="1" x14ac:dyDescent="0.2">
      <c r="A307" s="20"/>
      <c r="B307" s="21"/>
      <c r="C307" s="22"/>
      <c r="D307" s="23"/>
      <c r="E307" s="24"/>
      <c r="F307" s="24"/>
      <c r="G307" s="21"/>
    </row>
    <row r="308" spans="1:7" ht="12" customHeight="1" x14ac:dyDescent="0.2">
      <c r="A308" s="20"/>
      <c r="B308" s="21"/>
      <c r="C308" s="22"/>
      <c r="D308" s="23"/>
      <c r="E308" s="24"/>
      <c r="F308" s="24"/>
      <c r="G308" s="21"/>
    </row>
    <row r="309" spans="1:7" ht="12" customHeight="1" x14ac:dyDescent="0.2">
      <c r="A309" s="20"/>
      <c r="B309" s="21"/>
      <c r="C309" s="22"/>
      <c r="D309" s="23"/>
      <c r="E309" s="24"/>
      <c r="F309" s="24"/>
      <c r="G309" s="21"/>
    </row>
    <row r="310" spans="1:7" ht="12" customHeight="1" x14ac:dyDescent="0.2">
      <c r="A310" s="20"/>
      <c r="B310" s="21"/>
      <c r="C310" s="22"/>
      <c r="D310" s="23"/>
      <c r="E310" s="24"/>
      <c r="F310" s="24"/>
      <c r="G310" s="21"/>
    </row>
    <row r="311" spans="1:7" ht="12" customHeight="1" x14ac:dyDescent="0.2">
      <c r="A311" s="20"/>
      <c r="B311" s="21"/>
      <c r="C311" s="22"/>
      <c r="D311" s="23"/>
      <c r="E311" s="24"/>
      <c r="F311" s="24"/>
      <c r="G311" s="21"/>
    </row>
    <row r="312" spans="1:7" ht="12" customHeight="1" x14ac:dyDescent="0.2">
      <c r="A312" s="20"/>
      <c r="B312" s="21"/>
      <c r="C312" s="22"/>
      <c r="D312" s="23"/>
      <c r="E312" s="24"/>
      <c r="F312" s="24"/>
      <c r="G312" s="21"/>
    </row>
    <row r="313" spans="1:7" ht="12" customHeight="1" x14ac:dyDescent="0.2">
      <c r="A313" s="20"/>
      <c r="B313" s="21"/>
      <c r="C313" s="22"/>
      <c r="D313" s="23"/>
      <c r="E313" s="24"/>
      <c r="F313" s="24"/>
      <c r="G313" s="21"/>
    </row>
    <row r="314" spans="1:7" ht="12" customHeight="1" x14ac:dyDescent="0.2">
      <c r="A314" s="20"/>
      <c r="B314" s="21"/>
      <c r="C314" s="22"/>
      <c r="D314" s="23"/>
      <c r="E314" s="24"/>
      <c r="F314" s="24"/>
      <c r="G314" s="21"/>
    </row>
    <row r="315" spans="1:7" ht="12" customHeight="1" x14ac:dyDescent="0.2">
      <c r="A315" s="20"/>
      <c r="B315" s="21"/>
      <c r="C315" s="22"/>
      <c r="D315" s="23"/>
      <c r="E315" s="24"/>
      <c r="F315" s="24"/>
      <c r="G315" s="21"/>
    </row>
    <row r="316" spans="1:7" ht="12" customHeight="1" x14ac:dyDescent="0.2">
      <c r="A316" s="20"/>
      <c r="B316" s="21"/>
      <c r="C316" s="22"/>
      <c r="D316" s="23"/>
      <c r="E316" s="24"/>
      <c r="F316" s="24"/>
      <c r="G316" s="21"/>
    </row>
    <row r="317" spans="1:7" ht="12" customHeight="1" x14ac:dyDescent="0.2">
      <c r="A317" s="20"/>
      <c r="B317" s="21"/>
      <c r="C317" s="22"/>
      <c r="D317" s="23"/>
      <c r="E317" s="24"/>
      <c r="F317" s="24"/>
      <c r="G317" s="21"/>
    </row>
    <row r="318" spans="1:7" ht="12" customHeight="1" x14ac:dyDescent="0.2">
      <c r="A318" s="20"/>
      <c r="B318" s="21"/>
      <c r="C318" s="22"/>
      <c r="D318" s="23"/>
      <c r="E318" s="24"/>
      <c r="F318" s="24"/>
      <c r="G318" s="21"/>
    </row>
    <row r="319" spans="1:7" ht="12" customHeight="1" x14ac:dyDescent="0.2">
      <c r="A319" s="20"/>
      <c r="B319" s="21"/>
      <c r="C319" s="22"/>
      <c r="D319" s="23"/>
      <c r="E319" s="24"/>
      <c r="F319" s="24"/>
      <c r="G319" s="21"/>
    </row>
    <row r="320" spans="1:7" ht="12" customHeight="1" x14ac:dyDescent="0.2">
      <c r="A320" s="20"/>
      <c r="B320" s="21"/>
      <c r="C320" s="22"/>
      <c r="D320" s="23"/>
      <c r="E320" s="24"/>
      <c r="F320" s="24"/>
      <c r="G320" s="21"/>
    </row>
    <row r="321" spans="1:7" ht="12" customHeight="1" x14ac:dyDescent="0.2">
      <c r="A321" s="20"/>
      <c r="B321" s="21"/>
      <c r="C321" s="22"/>
      <c r="D321" s="23"/>
      <c r="E321" s="24"/>
      <c r="F321" s="24"/>
      <c r="G321" s="21"/>
    </row>
    <row r="322" spans="1:7" ht="12" customHeight="1" x14ac:dyDescent="0.2">
      <c r="A322" s="20"/>
      <c r="B322" s="21"/>
      <c r="C322" s="22"/>
      <c r="D322" s="23"/>
      <c r="E322" s="24"/>
      <c r="F322" s="24"/>
      <c r="G322" s="21"/>
    </row>
    <row r="323" spans="1:7" ht="12" customHeight="1" x14ac:dyDescent="0.2">
      <c r="A323" s="20"/>
      <c r="B323" s="21"/>
      <c r="C323" s="22"/>
      <c r="D323" s="23"/>
      <c r="E323" s="24"/>
      <c r="F323" s="24"/>
      <c r="G323" s="21"/>
    </row>
    <row r="324" spans="1:7" ht="12" customHeight="1" x14ac:dyDescent="0.2">
      <c r="A324" s="20"/>
      <c r="B324" s="21"/>
      <c r="C324" s="22"/>
      <c r="D324" s="23"/>
      <c r="E324" s="24"/>
      <c r="F324" s="24"/>
      <c r="G324" s="21"/>
    </row>
    <row r="325" spans="1:7" ht="12" customHeight="1" x14ac:dyDescent="0.2">
      <c r="A325" s="20"/>
      <c r="B325" s="21"/>
      <c r="C325" s="22"/>
      <c r="D325" s="23"/>
      <c r="E325" s="24"/>
      <c r="F325" s="24"/>
      <c r="G325" s="21"/>
    </row>
    <row r="326" spans="1:7" ht="12" customHeight="1" x14ac:dyDescent="0.2">
      <c r="A326" s="20"/>
      <c r="B326" s="21"/>
      <c r="C326" s="22"/>
      <c r="D326" s="23"/>
      <c r="E326" s="24"/>
      <c r="F326" s="24"/>
      <c r="G326" s="21"/>
    </row>
    <row r="327" spans="1:7" ht="12" customHeight="1" x14ac:dyDescent="0.2">
      <c r="A327" s="20"/>
      <c r="B327" s="21"/>
      <c r="C327" s="22"/>
      <c r="D327" s="23"/>
      <c r="E327" s="24"/>
      <c r="F327" s="24"/>
      <c r="G327" s="21"/>
    </row>
    <row r="328" spans="1:7" ht="12" customHeight="1" x14ac:dyDescent="0.2">
      <c r="A328" s="20"/>
      <c r="B328" s="21"/>
      <c r="C328" s="22"/>
      <c r="D328" s="23"/>
      <c r="E328" s="24"/>
      <c r="F328" s="24"/>
      <c r="G328" s="21"/>
    </row>
    <row r="329" spans="1:7" ht="12" customHeight="1" x14ac:dyDescent="0.2">
      <c r="A329" s="20"/>
      <c r="B329" s="21"/>
      <c r="C329" s="22"/>
      <c r="D329" s="23"/>
      <c r="E329" s="24"/>
      <c r="F329" s="24"/>
      <c r="G329" s="21"/>
    </row>
    <row r="330" spans="1:7" ht="12" customHeight="1" x14ac:dyDescent="0.2">
      <c r="A330" s="20"/>
      <c r="B330" s="21"/>
      <c r="C330" s="22"/>
      <c r="D330" s="23"/>
      <c r="E330" s="24"/>
      <c r="F330" s="24"/>
      <c r="G330" s="21"/>
    </row>
    <row r="331" spans="1:7" ht="12" customHeight="1" x14ac:dyDescent="0.2">
      <c r="A331" s="20"/>
      <c r="B331" s="21"/>
      <c r="C331" s="22"/>
      <c r="D331" s="23"/>
      <c r="E331" s="24"/>
      <c r="F331" s="24"/>
      <c r="G331" s="21"/>
    </row>
    <row r="332" spans="1:7" ht="12" customHeight="1" x14ac:dyDescent="0.2">
      <c r="A332" s="20"/>
      <c r="B332" s="21"/>
      <c r="C332" s="22"/>
      <c r="D332" s="23"/>
      <c r="E332" s="24"/>
      <c r="F332" s="24"/>
      <c r="G332" s="21"/>
    </row>
    <row r="333" spans="1:7" ht="12" customHeight="1" x14ac:dyDescent="0.2">
      <c r="A333" s="20"/>
      <c r="B333" s="21"/>
      <c r="C333" s="22"/>
      <c r="D333" s="23"/>
      <c r="E333" s="24"/>
      <c r="F333" s="24"/>
      <c r="G333" s="21"/>
    </row>
    <row r="334" spans="1:7" ht="12" customHeight="1" x14ac:dyDescent="0.2">
      <c r="A334" s="20"/>
      <c r="B334" s="21"/>
      <c r="C334" s="22"/>
      <c r="D334" s="23"/>
      <c r="E334" s="24"/>
      <c r="F334" s="24"/>
      <c r="G334" s="21"/>
    </row>
    <row r="335" spans="1:7" ht="12" customHeight="1" x14ac:dyDescent="0.2">
      <c r="A335" s="20"/>
      <c r="B335" s="21"/>
      <c r="C335" s="22"/>
      <c r="D335" s="23"/>
      <c r="E335" s="24"/>
      <c r="F335" s="24"/>
      <c r="G335" s="21"/>
    </row>
    <row r="336" spans="1:7" ht="12" customHeight="1" x14ac:dyDescent="0.2">
      <c r="A336" s="20"/>
      <c r="B336" s="21"/>
      <c r="C336" s="22"/>
      <c r="D336" s="23"/>
      <c r="E336" s="24"/>
      <c r="F336" s="24"/>
      <c r="G336" s="21"/>
    </row>
    <row r="337" spans="1:7" ht="12" customHeight="1" x14ac:dyDescent="0.2">
      <c r="A337" s="20"/>
      <c r="B337" s="21"/>
      <c r="C337" s="22"/>
      <c r="D337" s="23"/>
      <c r="E337" s="24"/>
      <c r="F337" s="24"/>
      <c r="G337" s="21"/>
    </row>
    <row r="338" spans="1:7" ht="12" customHeight="1" x14ac:dyDescent="0.2">
      <c r="A338" s="20"/>
      <c r="B338" s="21"/>
      <c r="C338" s="22"/>
      <c r="D338" s="23"/>
      <c r="E338" s="24"/>
      <c r="F338" s="24"/>
      <c r="G338" s="21"/>
    </row>
    <row r="339" spans="1:7" ht="12" customHeight="1" x14ac:dyDescent="0.2">
      <c r="A339" s="20"/>
      <c r="B339" s="21"/>
      <c r="C339" s="22"/>
      <c r="D339" s="23"/>
      <c r="E339" s="24"/>
      <c r="F339" s="24"/>
      <c r="G339" s="21"/>
    </row>
    <row r="340" spans="1:7" ht="12" customHeight="1" x14ac:dyDescent="0.2">
      <c r="A340" s="20"/>
      <c r="B340" s="21"/>
      <c r="C340" s="22"/>
      <c r="D340" s="23"/>
      <c r="E340" s="24"/>
      <c r="F340" s="24"/>
      <c r="G340" s="21"/>
    </row>
    <row r="341" spans="1:7" ht="12" customHeight="1" x14ac:dyDescent="0.2">
      <c r="A341" s="20"/>
      <c r="B341" s="21"/>
      <c r="C341" s="22"/>
      <c r="D341" s="23"/>
      <c r="E341" s="24"/>
      <c r="F341" s="24"/>
      <c r="G341" s="21"/>
    </row>
    <row r="342" spans="1:7" ht="12" customHeight="1" x14ac:dyDescent="0.2">
      <c r="A342" s="20"/>
      <c r="B342" s="21"/>
      <c r="C342" s="22"/>
      <c r="D342" s="23"/>
      <c r="E342" s="24"/>
      <c r="F342" s="24"/>
      <c r="G342" s="21"/>
    </row>
    <row r="343" spans="1:7" ht="12" customHeight="1" x14ac:dyDescent="0.2">
      <c r="A343" s="20"/>
      <c r="B343" s="21"/>
      <c r="C343" s="22"/>
      <c r="D343" s="23"/>
      <c r="E343" s="24"/>
      <c r="F343" s="24"/>
      <c r="G343" s="21"/>
    </row>
    <row r="344" spans="1:7" ht="12" customHeight="1" x14ac:dyDescent="0.2">
      <c r="A344" s="20"/>
      <c r="B344" s="21"/>
      <c r="C344" s="22"/>
      <c r="D344" s="23"/>
      <c r="E344" s="24"/>
      <c r="F344" s="24"/>
      <c r="G344" s="21"/>
    </row>
    <row r="345" spans="1:7" ht="12" customHeight="1" x14ac:dyDescent="0.2">
      <c r="A345" s="20"/>
      <c r="B345" s="21"/>
      <c r="C345" s="22"/>
      <c r="D345" s="23"/>
      <c r="E345" s="24"/>
      <c r="F345" s="24"/>
      <c r="G345" s="21"/>
    </row>
    <row r="346" spans="1:7" ht="12" customHeight="1" x14ac:dyDescent="0.2">
      <c r="A346" s="20"/>
      <c r="B346" s="21"/>
      <c r="C346" s="22"/>
      <c r="D346" s="23"/>
      <c r="E346" s="24"/>
      <c r="F346" s="24"/>
      <c r="G346" s="21"/>
    </row>
    <row r="347" spans="1:7" ht="12" customHeight="1" x14ac:dyDescent="0.2">
      <c r="A347" s="20"/>
      <c r="B347" s="21"/>
      <c r="C347" s="22"/>
      <c r="D347" s="23"/>
      <c r="E347" s="24"/>
      <c r="F347" s="24"/>
      <c r="G347" s="21"/>
    </row>
    <row r="348" spans="1:7" ht="12" customHeight="1" x14ac:dyDescent="0.2">
      <c r="A348" s="20"/>
      <c r="B348" s="21"/>
      <c r="C348" s="22"/>
      <c r="D348" s="23"/>
      <c r="E348" s="24"/>
      <c r="F348" s="24"/>
      <c r="G348" s="21"/>
    </row>
    <row r="349" spans="1:7" ht="12" customHeight="1" x14ac:dyDescent="0.2">
      <c r="A349" s="20"/>
      <c r="B349" s="21"/>
      <c r="C349" s="22"/>
      <c r="D349" s="23"/>
      <c r="E349" s="24"/>
      <c r="F349" s="24"/>
      <c r="G349" s="21"/>
    </row>
    <row r="350" spans="1:7" ht="12" customHeight="1" x14ac:dyDescent="0.2">
      <c r="A350" s="20"/>
      <c r="B350" s="21"/>
      <c r="C350" s="22"/>
      <c r="D350" s="23"/>
      <c r="E350" s="24"/>
      <c r="F350" s="24"/>
      <c r="G350" s="21"/>
    </row>
    <row r="351" spans="1:7" ht="12" customHeight="1" x14ac:dyDescent="0.2">
      <c r="A351" s="20"/>
      <c r="B351" s="21"/>
      <c r="C351" s="22"/>
      <c r="D351" s="23"/>
      <c r="E351" s="24"/>
      <c r="F351" s="24"/>
      <c r="G351" s="21"/>
    </row>
    <row r="352" spans="1:7" ht="12" customHeight="1" x14ac:dyDescent="0.2">
      <c r="A352" s="20"/>
      <c r="B352" s="21"/>
      <c r="C352" s="22"/>
      <c r="D352" s="23"/>
      <c r="E352" s="24"/>
      <c r="F352" s="24"/>
      <c r="G352" s="21"/>
    </row>
    <row r="353" spans="1:7" ht="12" customHeight="1" x14ac:dyDescent="0.2">
      <c r="A353" s="20"/>
      <c r="B353" s="21"/>
      <c r="C353" s="22"/>
      <c r="D353" s="23"/>
      <c r="E353" s="24"/>
      <c r="F353" s="24"/>
      <c r="G353" s="21"/>
    </row>
    <row r="354" spans="1:7" ht="12" customHeight="1" x14ac:dyDescent="0.2">
      <c r="A354" s="20"/>
      <c r="B354" s="21"/>
      <c r="C354" s="22"/>
      <c r="D354" s="23"/>
      <c r="E354" s="24"/>
      <c r="F354" s="24"/>
      <c r="G354" s="21"/>
    </row>
    <row r="355" spans="1:7" ht="12" customHeight="1" x14ac:dyDescent="0.2">
      <c r="A355" s="20"/>
      <c r="B355" s="21"/>
      <c r="C355" s="22"/>
      <c r="D355" s="23"/>
      <c r="E355" s="24"/>
      <c r="F355" s="24"/>
      <c r="G355" s="21"/>
    </row>
    <row r="356" spans="1:7" ht="12" customHeight="1" x14ac:dyDescent="0.2">
      <c r="A356" s="20"/>
      <c r="B356" s="21"/>
      <c r="C356" s="22"/>
      <c r="D356" s="23"/>
      <c r="E356" s="24"/>
      <c r="F356" s="24"/>
      <c r="G356" s="21"/>
    </row>
    <row r="357" spans="1:7" ht="12" customHeight="1" x14ac:dyDescent="0.2">
      <c r="A357" s="20"/>
      <c r="B357" s="21"/>
      <c r="C357" s="22"/>
      <c r="D357" s="23"/>
      <c r="E357" s="24"/>
      <c r="F357" s="24"/>
      <c r="G357" s="21"/>
    </row>
    <row r="358" spans="1:7" ht="12" customHeight="1" x14ac:dyDescent="0.2">
      <c r="A358" s="20"/>
      <c r="B358" s="21"/>
      <c r="C358" s="22"/>
      <c r="D358" s="23"/>
      <c r="E358" s="24"/>
      <c r="F358" s="24"/>
      <c r="G358" s="21"/>
    </row>
    <row r="359" spans="1:7" ht="12" customHeight="1" x14ac:dyDescent="0.2">
      <c r="A359" s="20"/>
      <c r="B359" s="21"/>
      <c r="C359" s="22"/>
      <c r="D359" s="23"/>
      <c r="E359" s="24"/>
      <c r="F359" s="24"/>
      <c r="G359" s="21"/>
    </row>
    <row r="360" spans="1:7" ht="12" customHeight="1" x14ac:dyDescent="0.2">
      <c r="A360" s="20"/>
      <c r="B360" s="21"/>
      <c r="C360" s="22"/>
      <c r="D360" s="23"/>
      <c r="E360" s="24"/>
      <c r="F360" s="24"/>
      <c r="G360" s="21"/>
    </row>
    <row r="361" spans="1:7" ht="12" customHeight="1" x14ac:dyDescent="0.2">
      <c r="A361" s="20"/>
      <c r="B361" s="21"/>
      <c r="C361" s="22"/>
      <c r="D361" s="23"/>
      <c r="E361" s="24"/>
      <c r="F361" s="24"/>
      <c r="G361" s="21"/>
    </row>
    <row r="362" spans="1:7" ht="12" customHeight="1" x14ac:dyDescent="0.2">
      <c r="A362" s="20"/>
      <c r="B362" s="21"/>
      <c r="C362" s="22"/>
      <c r="D362" s="23"/>
      <c r="E362" s="24"/>
      <c r="F362" s="24"/>
      <c r="G362" s="21"/>
    </row>
    <row r="363" spans="1:7" ht="12" customHeight="1" x14ac:dyDescent="0.2">
      <c r="A363" s="20"/>
      <c r="B363" s="21"/>
      <c r="C363" s="22"/>
      <c r="D363" s="23"/>
      <c r="E363" s="24"/>
      <c r="F363" s="24"/>
      <c r="G363" s="21"/>
    </row>
    <row r="364" spans="1:7" ht="12" customHeight="1" x14ac:dyDescent="0.2">
      <c r="A364" s="20"/>
      <c r="B364" s="21"/>
      <c r="C364" s="22"/>
      <c r="D364" s="23"/>
      <c r="E364" s="24"/>
      <c r="F364" s="24"/>
      <c r="G364" s="21"/>
    </row>
    <row r="365" spans="1:7" ht="12" customHeight="1" x14ac:dyDescent="0.2">
      <c r="A365" s="20"/>
      <c r="B365" s="21"/>
      <c r="C365" s="22"/>
      <c r="D365" s="23"/>
      <c r="E365" s="24"/>
      <c r="F365" s="24"/>
      <c r="G365" s="21"/>
    </row>
    <row r="366" spans="1:7" ht="12" customHeight="1" x14ac:dyDescent="0.2">
      <c r="A366" s="20"/>
      <c r="B366" s="21"/>
      <c r="C366" s="22"/>
      <c r="D366" s="23"/>
      <c r="E366" s="24"/>
      <c r="F366" s="24"/>
      <c r="G366" s="21"/>
    </row>
    <row r="367" spans="1:7" ht="12" customHeight="1" x14ac:dyDescent="0.2">
      <c r="A367" s="20"/>
      <c r="B367" s="21"/>
      <c r="C367" s="22"/>
      <c r="D367" s="23"/>
      <c r="E367" s="24"/>
      <c r="F367" s="24"/>
      <c r="G367" s="21"/>
    </row>
    <row r="368" spans="1:7" ht="12" customHeight="1" x14ac:dyDescent="0.2">
      <c r="A368" s="20"/>
      <c r="B368" s="21"/>
      <c r="C368" s="22"/>
      <c r="D368" s="23"/>
      <c r="E368" s="24"/>
      <c r="F368" s="24"/>
      <c r="G368" s="21"/>
    </row>
    <row r="369" spans="1:7" ht="12" customHeight="1" x14ac:dyDescent="0.2">
      <c r="A369" s="20"/>
      <c r="B369" s="21"/>
      <c r="C369" s="22"/>
      <c r="D369" s="23"/>
      <c r="E369" s="24"/>
      <c r="F369" s="24"/>
      <c r="G369" s="21"/>
    </row>
    <row r="370" spans="1:7" ht="12" customHeight="1" x14ac:dyDescent="0.2">
      <c r="A370" s="20"/>
      <c r="B370" s="21"/>
      <c r="C370" s="22"/>
      <c r="D370" s="23"/>
      <c r="E370" s="24"/>
      <c r="F370" s="24"/>
      <c r="G370" s="21"/>
    </row>
    <row r="371" spans="1:7" ht="12" customHeight="1" x14ac:dyDescent="0.2">
      <c r="A371" s="20"/>
      <c r="B371" s="21"/>
      <c r="C371" s="22"/>
      <c r="D371" s="23"/>
      <c r="E371" s="24"/>
      <c r="F371" s="24"/>
      <c r="G371" s="21"/>
    </row>
    <row r="372" spans="1:7" ht="12" customHeight="1" x14ac:dyDescent="0.2">
      <c r="A372" s="20"/>
      <c r="B372" s="21"/>
      <c r="C372" s="22"/>
      <c r="D372" s="23"/>
      <c r="E372" s="24"/>
      <c r="F372" s="24"/>
      <c r="G372" s="21"/>
    </row>
    <row r="373" spans="1:7" ht="12" customHeight="1" x14ac:dyDescent="0.2">
      <c r="A373" s="20"/>
      <c r="B373" s="21"/>
      <c r="C373" s="22"/>
      <c r="D373" s="23"/>
      <c r="E373" s="24"/>
      <c r="F373" s="24"/>
      <c r="G373" s="21"/>
    </row>
    <row r="374" spans="1:7" ht="12" customHeight="1" x14ac:dyDescent="0.2">
      <c r="A374" s="20"/>
      <c r="B374" s="21"/>
      <c r="C374" s="22"/>
      <c r="D374" s="23"/>
      <c r="E374" s="24"/>
      <c r="F374" s="24"/>
      <c r="G374" s="21"/>
    </row>
    <row r="375" spans="1:7" ht="12" customHeight="1" x14ac:dyDescent="0.2">
      <c r="A375" s="20"/>
      <c r="B375" s="21"/>
      <c r="C375" s="22"/>
      <c r="D375" s="23"/>
      <c r="E375" s="24"/>
      <c r="F375" s="24"/>
      <c r="G375" s="21"/>
    </row>
    <row r="376" spans="1:7" ht="12" customHeight="1" x14ac:dyDescent="0.2">
      <c r="A376" s="20"/>
      <c r="B376" s="21"/>
      <c r="C376" s="22"/>
      <c r="D376" s="23"/>
      <c r="E376" s="24"/>
      <c r="F376" s="24"/>
      <c r="G376" s="21"/>
    </row>
    <row r="377" spans="1:7" ht="12" customHeight="1" x14ac:dyDescent="0.2">
      <c r="A377" s="20"/>
      <c r="B377" s="21"/>
      <c r="C377" s="22"/>
      <c r="D377" s="23"/>
      <c r="E377" s="24"/>
      <c r="F377" s="24"/>
      <c r="G377" s="21"/>
    </row>
    <row r="378" spans="1:7" ht="12" customHeight="1" x14ac:dyDescent="0.2">
      <c r="A378" s="20"/>
      <c r="B378" s="21"/>
      <c r="C378" s="22"/>
      <c r="D378" s="23"/>
      <c r="E378" s="24"/>
      <c r="F378" s="24"/>
      <c r="G378" s="21"/>
    </row>
    <row r="379" spans="1:7" ht="12" customHeight="1" x14ac:dyDescent="0.2">
      <c r="A379" s="20"/>
      <c r="B379" s="21"/>
      <c r="C379" s="22"/>
      <c r="D379" s="23"/>
      <c r="E379" s="24"/>
      <c r="F379" s="24"/>
      <c r="G379" s="21"/>
    </row>
    <row r="380" spans="1:7" ht="12" customHeight="1" x14ac:dyDescent="0.2">
      <c r="A380" s="20"/>
      <c r="B380" s="21"/>
      <c r="C380" s="22"/>
      <c r="D380" s="23"/>
      <c r="E380" s="24"/>
      <c r="F380" s="24"/>
      <c r="G380" s="21"/>
    </row>
    <row r="381" spans="1:7" ht="12" customHeight="1" x14ac:dyDescent="0.2">
      <c r="A381" s="20"/>
      <c r="B381" s="21"/>
      <c r="C381" s="22"/>
      <c r="D381" s="23"/>
      <c r="E381" s="24"/>
      <c r="F381" s="24"/>
      <c r="G381" s="21"/>
    </row>
    <row r="382" spans="1:7" ht="12" customHeight="1" x14ac:dyDescent="0.2">
      <c r="A382" s="20"/>
      <c r="B382" s="21"/>
      <c r="C382" s="22"/>
      <c r="D382" s="23"/>
      <c r="E382" s="24"/>
      <c r="F382" s="24"/>
      <c r="G382" s="21"/>
    </row>
    <row r="383" spans="1:7" ht="12" customHeight="1" x14ac:dyDescent="0.2">
      <c r="A383" s="20"/>
      <c r="B383" s="21"/>
      <c r="C383" s="22"/>
      <c r="D383" s="23"/>
      <c r="E383" s="24"/>
      <c r="F383" s="24"/>
      <c r="G383" s="21"/>
    </row>
    <row r="384" spans="1:7" ht="12" customHeight="1" x14ac:dyDescent="0.2">
      <c r="A384" s="20"/>
      <c r="B384" s="21"/>
      <c r="C384" s="22"/>
      <c r="D384" s="23"/>
      <c r="E384" s="24"/>
      <c r="F384" s="24"/>
      <c r="G384" s="21"/>
    </row>
    <row r="385" spans="1:7" ht="12" customHeight="1" x14ac:dyDescent="0.2">
      <c r="A385" s="20"/>
      <c r="B385" s="21"/>
      <c r="C385" s="22"/>
      <c r="D385" s="23"/>
      <c r="E385" s="24"/>
      <c r="F385" s="24"/>
      <c r="G385" s="21"/>
    </row>
    <row r="386" spans="1:7" ht="12" customHeight="1" x14ac:dyDescent="0.2">
      <c r="A386" s="20"/>
      <c r="B386" s="21"/>
      <c r="C386" s="22"/>
      <c r="D386" s="23"/>
      <c r="E386" s="24"/>
      <c r="F386" s="24"/>
      <c r="G386" s="21"/>
    </row>
    <row r="387" spans="1:7" ht="12" customHeight="1" x14ac:dyDescent="0.2">
      <c r="A387" s="20"/>
      <c r="B387" s="21"/>
      <c r="C387" s="22"/>
      <c r="D387" s="23"/>
      <c r="E387" s="24"/>
      <c r="F387" s="24"/>
      <c r="G387" s="21"/>
    </row>
    <row r="388" spans="1:7" ht="12" customHeight="1" x14ac:dyDescent="0.2">
      <c r="A388" s="20"/>
      <c r="B388" s="21"/>
      <c r="C388" s="22"/>
      <c r="D388" s="23"/>
      <c r="E388" s="24"/>
      <c r="F388" s="24"/>
      <c r="G388" s="21"/>
    </row>
    <row r="389" spans="1:7" ht="12" customHeight="1" x14ac:dyDescent="0.2">
      <c r="A389" s="20"/>
      <c r="B389" s="21"/>
      <c r="C389" s="22"/>
      <c r="D389" s="23"/>
      <c r="E389" s="24"/>
      <c r="F389" s="24"/>
      <c r="G389" s="21"/>
    </row>
    <row r="390" spans="1:7" ht="12" customHeight="1" x14ac:dyDescent="0.2">
      <c r="A390" s="20"/>
      <c r="B390" s="21"/>
      <c r="C390" s="22"/>
      <c r="D390" s="23"/>
      <c r="E390" s="24"/>
      <c r="F390" s="24"/>
      <c r="G390" s="21"/>
    </row>
    <row r="391" spans="1:7" ht="12" customHeight="1" x14ac:dyDescent="0.2">
      <c r="A391" s="20"/>
      <c r="B391" s="21"/>
      <c r="C391" s="22"/>
      <c r="D391" s="23"/>
      <c r="E391" s="24"/>
      <c r="F391" s="24"/>
      <c r="G391" s="21"/>
    </row>
    <row r="392" spans="1:7" ht="12" customHeight="1" x14ac:dyDescent="0.2">
      <c r="A392" s="20"/>
      <c r="B392" s="21"/>
      <c r="C392" s="22"/>
      <c r="D392" s="23"/>
      <c r="E392" s="24"/>
      <c r="F392" s="24"/>
      <c r="G392" s="21"/>
    </row>
    <row r="393" spans="1:7" ht="12" customHeight="1" x14ac:dyDescent="0.2">
      <c r="A393" s="20"/>
      <c r="B393" s="21"/>
      <c r="C393" s="22"/>
      <c r="D393" s="23"/>
      <c r="E393" s="24"/>
      <c r="F393" s="24"/>
      <c r="G393" s="21"/>
    </row>
    <row r="394" spans="1:7" ht="12" customHeight="1" x14ac:dyDescent="0.2">
      <c r="A394" s="20"/>
      <c r="B394" s="21"/>
      <c r="C394" s="22"/>
      <c r="D394" s="23"/>
      <c r="E394" s="24"/>
      <c r="F394" s="24"/>
      <c r="G394" s="21"/>
    </row>
    <row r="395" spans="1:7" ht="12" customHeight="1" x14ac:dyDescent="0.2">
      <c r="A395" s="20"/>
      <c r="B395" s="21"/>
      <c r="C395" s="22"/>
      <c r="D395" s="23"/>
      <c r="E395" s="24"/>
      <c r="F395" s="24"/>
      <c r="G395" s="21"/>
    </row>
    <row r="396" spans="1:7" ht="12" customHeight="1" x14ac:dyDescent="0.2">
      <c r="A396" s="20"/>
      <c r="B396" s="21"/>
      <c r="C396" s="22"/>
      <c r="D396" s="23"/>
      <c r="E396" s="24"/>
      <c r="F396" s="24"/>
      <c r="G396" s="21"/>
    </row>
    <row r="397" spans="1:7" ht="12" customHeight="1" x14ac:dyDescent="0.2">
      <c r="A397" s="20"/>
      <c r="B397" s="21"/>
      <c r="C397" s="22"/>
      <c r="D397" s="23"/>
      <c r="E397" s="24"/>
      <c r="F397" s="24"/>
      <c r="G397" s="21"/>
    </row>
    <row r="398" spans="1:7" ht="12" customHeight="1" x14ac:dyDescent="0.2">
      <c r="A398" s="20"/>
      <c r="B398" s="21"/>
      <c r="C398" s="22"/>
      <c r="D398" s="23"/>
      <c r="E398" s="24"/>
      <c r="F398" s="24"/>
      <c r="G398" s="21"/>
    </row>
    <row r="399" spans="1:7" ht="12" customHeight="1" x14ac:dyDescent="0.2">
      <c r="A399" s="20"/>
      <c r="B399" s="21"/>
      <c r="C399" s="22"/>
      <c r="D399" s="23"/>
      <c r="E399" s="24"/>
      <c r="F399" s="24"/>
      <c r="G399" s="21"/>
    </row>
    <row r="400" spans="1:7" ht="12" customHeight="1" x14ac:dyDescent="0.2">
      <c r="A400" s="20"/>
      <c r="B400" s="21"/>
      <c r="C400" s="22"/>
      <c r="D400" s="23"/>
      <c r="E400" s="24"/>
      <c r="F400" s="24"/>
      <c r="G400" s="21"/>
    </row>
    <row r="401" spans="1:7" ht="12" customHeight="1" x14ac:dyDescent="0.2">
      <c r="A401" s="20"/>
      <c r="B401" s="21"/>
      <c r="C401" s="22"/>
      <c r="D401" s="23"/>
      <c r="E401" s="24"/>
      <c r="F401" s="24"/>
      <c r="G401" s="21"/>
    </row>
    <row r="402" spans="1:7" ht="12" customHeight="1" x14ac:dyDescent="0.2">
      <c r="A402" s="20"/>
      <c r="B402" s="21"/>
      <c r="C402" s="22"/>
      <c r="D402" s="23"/>
      <c r="E402" s="24"/>
      <c r="F402" s="24"/>
      <c r="G402" s="21"/>
    </row>
    <row r="403" spans="1:7" ht="12" customHeight="1" x14ac:dyDescent="0.2">
      <c r="A403" s="20"/>
      <c r="B403" s="21"/>
      <c r="C403" s="22"/>
      <c r="D403" s="23"/>
      <c r="E403" s="24"/>
      <c r="F403" s="24"/>
      <c r="G403" s="21"/>
    </row>
    <row r="404" spans="1:7" ht="12" customHeight="1" x14ac:dyDescent="0.2">
      <c r="A404" s="20"/>
      <c r="B404" s="21"/>
      <c r="C404" s="22"/>
      <c r="D404" s="23"/>
      <c r="E404" s="24"/>
      <c r="F404" s="24"/>
      <c r="G404" s="21"/>
    </row>
    <row r="405" spans="1:7" ht="12" customHeight="1" x14ac:dyDescent="0.2">
      <c r="A405" s="20"/>
      <c r="B405" s="21"/>
      <c r="C405" s="22"/>
      <c r="D405" s="23"/>
      <c r="E405" s="24"/>
      <c r="F405" s="24"/>
      <c r="G405" s="21"/>
    </row>
    <row r="406" spans="1:7" ht="12" customHeight="1" x14ac:dyDescent="0.2">
      <c r="A406" s="20"/>
      <c r="B406" s="21"/>
      <c r="C406" s="22"/>
      <c r="D406" s="23"/>
      <c r="E406" s="24"/>
      <c r="F406" s="24"/>
      <c r="G406" s="21"/>
    </row>
    <row r="407" spans="1:7" ht="12" customHeight="1" x14ac:dyDescent="0.2">
      <c r="A407" s="20"/>
      <c r="B407" s="21"/>
      <c r="C407" s="22"/>
      <c r="D407" s="23"/>
      <c r="E407" s="24"/>
      <c r="F407" s="24"/>
      <c r="G407" s="21"/>
    </row>
    <row r="408" spans="1:7" ht="12" customHeight="1" x14ac:dyDescent="0.2">
      <c r="A408" s="20"/>
      <c r="B408" s="21"/>
      <c r="C408" s="22"/>
      <c r="D408" s="23"/>
      <c r="E408" s="24"/>
      <c r="F408" s="24"/>
      <c r="G408" s="21"/>
    </row>
    <row r="409" spans="1:7" ht="12" customHeight="1" x14ac:dyDescent="0.2">
      <c r="A409" s="20"/>
      <c r="B409" s="21"/>
      <c r="C409" s="22"/>
      <c r="D409" s="23"/>
      <c r="E409" s="24"/>
      <c r="F409" s="24"/>
      <c r="G409" s="21"/>
    </row>
    <row r="410" spans="1:7" ht="12" customHeight="1" x14ac:dyDescent="0.2">
      <c r="A410" s="20"/>
      <c r="B410" s="21"/>
      <c r="C410" s="22"/>
      <c r="D410" s="23"/>
      <c r="E410" s="24"/>
      <c r="F410" s="24"/>
      <c r="G410" s="21"/>
    </row>
    <row r="411" spans="1:7" ht="12" customHeight="1" x14ac:dyDescent="0.2">
      <c r="A411" s="20"/>
      <c r="B411" s="21"/>
      <c r="C411" s="22"/>
      <c r="D411" s="23"/>
      <c r="E411" s="24"/>
      <c r="F411" s="24"/>
      <c r="G411" s="21"/>
    </row>
    <row r="412" spans="1:7" ht="12" customHeight="1" x14ac:dyDescent="0.2">
      <c r="A412" s="20"/>
      <c r="B412" s="21"/>
      <c r="C412" s="22"/>
      <c r="D412" s="23"/>
      <c r="E412" s="24"/>
      <c r="F412" s="24"/>
      <c r="G412" s="21"/>
    </row>
    <row r="413" spans="1:7" ht="12" customHeight="1" x14ac:dyDescent="0.2">
      <c r="A413" s="20"/>
      <c r="B413" s="21"/>
      <c r="C413" s="22"/>
      <c r="D413" s="23"/>
      <c r="E413" s="24"/>
      <c r="F413" s="24"/>
      <c r="G413" s="21"/>
    </row>
    <row r="414" spans="1:7" ht="12" customHeight="1" x14ac:dyDescent="0.2">
      <c r="A414" s="20"/>
      <c r="B414" s="21"/>
      <c r="C414" s="22"/>
      <c r="D414" s="23"/>
      <c r="E414" s="24"/>
      <c r="F414" s="24"/>
      <c r="G414" s="21"/>
    </row>
    <row r="415" spans="1:7" ht="12" customHeight="1" x14ac:dyDescent="0.2">
      <c r="A415" s="20"/>
      <c r="B415" s="21"/>
      <c r="C415" s="22"/>
      <c r="D415" s="23"/>
      <c r="E415" s="24"/>
      <c r="F415" s="24"/>
      <c r="G415" s="21"/>
    </row>
    <row r="416" spans="1:7" ht="12" customHeight="1" x14ac:dyDescent="0.2">
      <c r="A416" s="20"/>
      <c r="B416" s="21"/>
      <c r="C416" s="22"/>
      <c r="D416" s="23"/>
      <c r="E416" s="24"/>
      <c r="F416" s="24"/>
      <c r="G416" s="21"/>
    </row>
    <row r="417" spans="1:7" ht="12" customHeight="1" x14ac:dyDescent="0.2">
      <c r="A417" s="20"/>
      <c r="B417" s="21"/>
      <c r="C417" s="22"/>
      <c r="D417" s="23"/>
      <c r="E417" s="24"/>
      <c r="F417" s="24"/>
      <c r="G417" s="21"/>
    </row>
    <row r="418" spans="1:7" ht="12" customHeight="1" x14ac:dyDescent="0.2">
      <c r="A418" s="20"/>
      <c r="B418" s="21"/>
      <c r="C418" s="22"/>
      <c r="D418" s="23"/>
      <c r="E418" s="24"/>
      <c r="F418" s="24"/>
      <c r="G418" s="21"/>
    </row>
    <row r="419" spans="1:7" ht="12" customHeight="1" x14ac:dyDescent="0.2">
      <c r="A419" s="20"/>
      <c r="B419" s="21"/>
      <c r="C419" s="22"/>
      <c r="D419" s="23"/>
      <c r="E419" s="24"/>
      <c r="F419" s="24"/>
      <c r="G419" s="21"/>
    </row>
    <row r="420" spans="1:7" ht="12" customHeight="1" x14ac:dyDescent="0.2">
      <c r="A420" s="20"/>
      <c r="B420" s="21"/>
      <c r="C420" s="22"/>
      <c r="D420" s="23"/>
      <c r="E420" s="24"/>
      <c r="F420" s="24"/>
      <c r="G420" s="21"/>
    </row>
    <row r="421" spans="1:7" ht="12" customHeight="1" x14ac:dyDescent="0.2">
      <c r="A421" s="20"/>
      <c r="B421" s="21"/>
      <c r="C421" s="22"/>
      <c r="D421" s="23"/>
      <c r="E421" s="24"/>
      <c r="F421" s="24"/>
      <c r="G421" s="21"/>
    </row>
    <row r="422" spans="1:7" ht="12" customHeight="1" x14ac:dyDescent="0.2">
      <c r="A422" s="20"/>
      <c r="B422" s="21"/>
      <c r="C422" s="22"/>
      <c r="D422" s="23"/>
      <c r="E422" s="24"/>
      <c r="F422" s="24"/>
      <c r="G422" s="21"/>
    </row>
    <row r="423" spans="1:7" ht="12" customHeight="1" x14ac:dyDescent="0.2">
      <c r="A423" s="20"/>
      <c r="B423" s="21"/>
      <c r="C423" s="22"/>
      <c r="D423" s="23"/>
      <c r="E423" s="24"/>
      <c r="F423" s="24"/>
      <c r="G423" s="21"/>
    </row>
    <row r="424" spans="1:7" ht="12" customHeight="1" x14ac:dyDescent="0.2">
      <c r="A424" s="20"/>
      <c r="B424" s="21"/>
      <c r="C424" s="22"/>
      <c r="D424" s="23"/>
      <c r="E424" s="24"/>
      <c r="F424" s="24"/>
      <c r="G424" s="21"/>
    </row>
    <row r="425" spans="1:7" ht="12" customHeight="1" x14ac:dyDescent="0.2">
      <c r="A425" s="20"/>
      <c r="B425" s="21"/>
      <c r="C425" s="22"/>
      <c r="D425" s="23"/>
      <c r="E425" s="24"/>
      <c r="F425" s="24"/>
      <c r="G425" s="21"/>
    </row>
    <row r="426" spans="1:7" ht="12" customHeight="1" x14ac:dyDescent="0.2">
      <c r="A426" s="20"/>
      <c r="B426" s="21"/>
      <c r="C426" s="22"/>
      <c r="D426" s="23"/>
      <c r="E426" s="24"/>
      <c r="F426" s="24"/>
      <c r="G426" s="21"/>
    </row>
    <row r="427" spans="1:7" ht="12" customHeight="1" x14ac:dyDescent="0.2">
      <c r="A427" s="20"/>
      <c r="B427" s="21"/>
      <c r="C427" s="22"/>
      <c r="D427" s="23"/>
      <c r="E427" s="24"/>
      <c r="F427" s="24"/>
      <c r="G427" s="21"/>
    </row>
    <row r="428" spans="1:7" ht="12" customHeight="1" x14ac:dyDescent="0.2">
      <c r="A428" s="20"/>
      <c r="B428" s="21"/>
      <c r="C428" s="22"/>
      <c r="D428" s="23"/>
      <c r="E428" s="24"/>
      <c r="F428" s="24"/>
      <c r="G428" s="21"/>
    </row>
    <row r="429" spans="1:7" ht="12" customHeight="1" x14ac:dyDescent="0.2">
      <c r="A429" s="20"/>
      <c r="B429" s="21"/>
      <c r="C429" s="22"/>
      <c r="D429" s="23"/>
      <c r="E429" s="24"/>
      <c r="F429" s="24"/>
      <c r="G429" s="21"/>
    </row>
    <row r="430" spans="1:7" ht="12" customHeight="1" x14ac:dyDescent="0.2">
      <c r="A430" s="20"/>
      <c r="B430" s="21"/>
      <c r="C430" s="22"/>
      <c r="D430" s="23"/>
      <c r="E430" s="24"/>
      <c r="F430" s="24"/>
      <c r="G430" s="21"/>
    </row>
    <row r="431" spans="1:7" ht="12" customHeight="1" x14ac:dyDescent="0.2">
      <c r="A431" s="20"/>
      <c r="B431" s="21"/>
      <c r="C431" s="22"/>
      <c r="D431" s="23"/>
      <c r="E431" s="24"/>
      <c r="F431" s="24"/>
      <c r="G431" s="21"/>
    </row>
    <row r="432" spans="1:7" ht="12" customHeight="1" x14ac:dyDescent="0.2">
      <c r="A432" s="20"/>
      <c r="B432" s="21"/>
      <c r="C432" s="22"/>
      <c r="D432" s="23"/>
      <c r="E432" s="24"/>
      <c r="F432" s="24"/>
      <c r="G432" s="21"/>
    </row>
    <row r="433" spans="1:7" ht="12" customHeight="1" x14ac:dyDescent="0.2">
      <c r="A433" s="20"/>
      <c r="B433" s="21"/>
      <c r="C433" s="22"/>
      <c r="D433" s="23"/>
      <c r="E433" s="24"/>
      <c r="F433" s="24"/>
      <c r="G433" s="21"/>
    </row>
    <row r="434" spans="1:7" ht="12" customHeight="1" x14ac:dyDescent="0.2">
      <c r="A434" s="20"/>
      <c r="B434" s="21"/>
      <c r="C434" s="22"/>
      <c r="D434" s="23"/>
      <c r="E434" s="24"/>
      <c r="F434" s="24"/>
      <c r="G434" s="21"/>
    </row>
    <row r="435" spans="1:7" ht="12" customHeight="1" x14ac:dyDescent="0.2">
      <c r="A435" s="20"/>
      <c r="B435" s="21"/>
      <c r="C435" s="22"/>
      <c r="D435" s="23"/>
      <c r="E435" s="24"/>
      <c r="F435" s="24"/>
      <c r="G435" s="21"/>
    </row>
    <row r="436" spans="1:7" ht="12" customHeight="1" x14ac:dyDescent="0.2">
      <c r="A436" s="20"/>
      <c r="B436" s="21"/>
      <c r="C436" s="22"/>
      <c r="D436" s="23"/>
      <c r="E436" s="24"/>
      <c r="F436" s="24"/>
      <c r="G436" s="21"/>
    </row>
    <row r="437" spans="1:7" ht="12" customHeight="1" x14ac:dyDescent="0.2">
      <c r="A437" s="20"/>
      <c r="B437" s="21"/>
      <c r="C437" s="22"/>
      <c r="D437" s="23"/>
      <c r="E437" s="24"/>
      <c r="F437" s="24"/>
      <c r="G437" s="21"/>
    </row>
    <row r="438" spans="1:7" ht="12" customHeight="1" x14ac:dyDescent="0.2">
      <c r="A438" s="20"/>
      <c r="B438" s="21"/>
      <c r="C438" s="22"/>
      <c r="D438" s="23"/>
      <c r="E438" s="24"/>
      <c r="F438" s="24"/>
      <c r="G438" s="21"/>
    </row>
    <row r="439" spans="1:7" ht="12" customHeight="1" x14ac:dyDescent="0.2">
      <c r="A439" s="20"/>
      <c r="B439" s="21"/>
      <c r="C439" s="22"/>
      <c r="D439" s="23"/>
      <c r="E439" s="24"/>
      <c r="F439" s="24"/>
      <c r="G439" s="21"/>
    </row>
    <row r="440" spans="1:7" ht="12" customHeight="1" x14ac:dyDescent="0.2">
      <c r="A440" s="20"/>
      <c r="B440" s="21"/>
      <c r="C440" s="22"/>
      <c r="D440" s="23"/>
      <c r="E440" s="24"/>
      <c r="F440" s="24"/>
      <c r="G440" s="21"/>
    </row>
    <row r="441" spans="1:7" ht="12" customHeight="1" x14ac:dyDescent="0.2">
      <c r="A441" s="20"/>
      <c r="B441" s="21"/>
      <c r="C441" s="22"/>
      <c r="D441" s="23"/>
      <c r="E441" s="24"/>
      <c r="F441" s="24"/>
      <c r="G441" s="21"/>
    </row>
    <row r="442" spans="1:7" ht="12" customHeight="1" x14ac:dyDescent="0.2">
      <c r="A442" s="20"/>
      <c r="B442" s="21"/>
      <c r="C442" s="22"/>
      <c r="D442" s="23"/>
      <c r="E442" s="24"/>
      <c r="F442" s="24"/>
      <c r="G442" s="21"/>
    </row>
    <row r="443" spans="1:7" ht="12" customHeight="1" x14ac:dyDescent="0.2">
      <c r="A443" s="20"/>
      <c r="B443" s="21"/>
      <c r="C443" s="22"/>
      <c r="D443" s="23"/>
      <c r="E443" s="24"/>
      <c r="F443" s="24"/>
      <c r="G443" s="21"/>
    </row>
    <row r="444" spans="1:7" ht="12" customHeight="1" x14ac:dyDescent="0.2">
      <c r="A444" s="20"/>
      <c r="B444" s="21"/>
      <c r="C444" s="22"/>
      <c r="D444" s="23"/>
      <c r="E444" s="24"/>
      <c r="F444" s="24"/>
      <c r="G444" s="21"/>
    </row>
    <row r="445" spans="1:7" ht="12" customHeight="1" x14ac:dyDescent="0.2">
      <c r="A445" s="20"/>
      <c r="B445" s="21"/>
      <c r="C445" s="22"/>
      <c r="D445" s="23"/>
      <c r="E445" s="24"/>
      <c r="F445" s="24"/>
      <c r="G445" s="21"/>
    </row>
    <row r="446" spans="1:7" ht="12" customHeight="1" x14ac:dyDescent="0.2">
      <c r="A446" s="20"/>
      <c r="B446" s="21"/>
      <c r="C446" s="22"/>
      <c r="D446" s="23"/>
      <c r="E446" s="24"/>
      <c r="F446" s="24"/>
      <c r="G446" s="21"/>
    </row>
    <row r="447" spans="1:7" ht="12" customHeight="1" x14ac:dyDescent="0.2">
      <c r="A447" s="20"/>
      <c r="B447" s="21"/>
      <c r="C447" s="22"/>
      <c r="D447" s="23"/>
      <c r="E447" s="24"/>
      <c r="F447" s="24"/>
      <c r="G447" s="21"/>
    </row>
    <row r="448" spans="1:7" ht="12" customHeight="1" x14ac:dyDescent="0.2">
      <c r="A448" s="20"/>
      <c r="B448" s="21"/>
      <c r="C448" s="22"/>
      <c r="D448" s="23"/>
      <c r="E448" s="24"/>
      <c r="F448" s="24"/>
      <c r="G448" s="21"/>
    </row>
    <row r="449" spans="1:7" ht="12" customHeight="1" x14ac:dyDescent="0.2">
      <c r="A449" s="20"/>
      <c r="B449" s="21"/>
      <c r="C449" s="22"/>
      <c r="D449" s="23"/>
      <c r="E449" s="24"/>
      <c r="F449" s="24"/>
      <c r="G449" s="21"/>
    </row>
    <row r="450" spans="1:7" ht="12" customHeight="1" x14ac:dyDescent="0.2">
      <c r="A450" s="20"/>
      <c r="B450" s="21"/>
      <c r="C450" s="22"/>
      <c r="D450" s="23"/>
      <c r="E450" s="24"/>
      <c r="F450" s="24"/>
      <c r="G450" s="21"/>
    </row>
    <row r="451" spans="1:7" ht="12" customHeight="1" x14ac:dyDescent="0.2">
      <c r="A451" s="20"/>
      <c r="B451" s="21"/>
      <c r="C451" s="22"/>
      <c r="D451" s="23"/>
      <c r="E451" s="24"/>
      <c r="F451" s="24"/>
      <c r="G451" s="21"/>
    </row>
    <row r="452" spans="1:7" ht="12" customHeight="1" x14ac:dyDescent="0.2">
      <c r="A452" s="20"/>
      <c r="B452" s="21"/>
      <c r="C452" s="22"/>
      <c r="D452" s="23"/>
      <c r="E452" s="24"/>
      <c r="F452" s="24"/>
      <c r="G452" s="21"/>
    </row>
    <row r="453" spans="1:7" ht="12" customHeight="1" x14ac:dyDescent="0.2">
      <c r="A453" s="20"/>
      <c r="B453" s="21"/>
      <c r="C453" s="22"/>
      <c r="D453" s="23"/>
      <c r="E453" s="24"/>
      <c r="F453" s="24"/>
      <c r="G453" s="21"/>
    </row>
    <row r="454" spans="1:7" ht="12" customHeight="1" x14ac:dyDescent="0.2">
      <c r="A454" s="20"/>
      <c r="B454" s="21"/>
      <c r="C454" s="22"/>
      <c r="D454" s="23"/>
      <c r="E454" s="24"/>
      <c r="F454" s="24"/>
      <c r="G454" s="21"/>
    </row>
    <row r="455" spans="1:7" ht="12" customHeight="1" x14ac:dyDescent="0.2">
      <c r="A455" s="20"/>
      <c r="B455" s="21"/>
      <c r="C455" s="22"/>
      <c r="D455" s="23"/>
      <c r="E455" s="24"/>
      <c r="F455" s="24"/>
      <c r="G455" s="21"/>
    </row>
    <row r="456" spans="1:7" ht="12" customHeight="1" x14ac:dyDescent="0.2">
      <c r="A456" s="20"/>
      <c r="B456" s="21"/>
      <c r="C456" s="22"/>
      <c r="D456" s="23"/>
      <c r="E456" s="24"/>
      <c r="F456" s="24"/>
      <c r="G456" s="21"/>
    </row>
    <row r="457" spans="1:7" ht="12" customHeight="1" x14ac:dyDescent="0.2">
      <c r="A457" s="20"/>
      <c r="B457" s="21"/>
      <c r="C457" s="22"/>
      <c r="D457" s="23"/>
      <c r="E457" s="24"/>
      <c r="F457" s="24"/>
      <c r="G457" s="21"/>
    </row>
    <row r="458" spans="1:7" ht="12" customHeight="1" x14ac:dyDescent="0.2">
      <c r="A458" s="20"/>
      <c r="B458" s="21"/>
      <c r="C458" s="22"/>
      <c r="D458" s="23"/>
      <c r="E458" s="24"/>
      <c r="F458" s="24"/>
      <c r="G458" s="21"/>
    </row>
    <row r="459" spans="1:7" ht="12" customHeight="1" x14ac:dyDescent="0.2">
      <c r="A459" s="20"/>
      <c r="B459" s="21"/>
      <c r="C459" s="22"/>
      <c r="D459" s="23"/>
      <c r="E459" s="24"/>
      <c r="F459" s="24"/>
      <c r="G459" s="21"/>
    </row>
    <row r="460" spans="1:7" ht="12" customHeight="1" x14ac:dyDescent="0.2">
      <c r="A460" s="20"/>
      <c r="B460" s="21"/>
      <c r="C460" s="22"/>
      <c r="D460" s="23"/>
      <c r="E460" s="24"/>
      <c r="F460" s="24"/>
      <c r="G460" s="21"/>
    </row>
    <row r="461" spans="1:7" ht="12" customHeight="1" x14ac:dyDescent="0.2">
      <c r="A461" s="20"/>
      <c r="B461" s="21"/>
      <c r="C461" s="22"/>
      <c r="D461" s="23"/>
      <c r="E461" s="24"/>
      <c r="F461" s="24"/>
      <c r="G461" s="21"/>
    </row>
    <row r="462" spans="1:7" ht="12" customHeight="1" x14ac:dyDescent="0.2">
      <c r="A462" s="20"/>
      <c r="B462" s="21"/>
      <c r="C462" s="22"/>
      <c r="D462" s="23"/>
      <c r="E462" s="24"/>
      <c r="F462" s="24"/>
      <c r="G462" s="21"/>
    </row>
    <row r="463" spans="1:7" ht="12" customHeight="1" x14ac:dyDescent="0.2">
      <c r="A463" s="20"/>
      <c r="B463" s="21"/>
      <c r="C463" s="22"/>
      <c r="D463" s="23"/>
      <c r="E463" s="24"/>
      <c r="F463" s="24"/>
      <c r="G463" s="21"/>
    </row>
    <row r="464" spans="1:7" ht="12" customHeight="1" x14ac:dyDescent="0.2">
      <c r="A464" s="20"/>
      <c r="B464" s="21"/>
      <c r="C464" s="22"/>
      <c r="D464" s="23"/>
      <c r="E464" s="24"/>
      <c r="F464" s="24"/>
      <c r="G464" s="21"/>
    </row>
    <row r="465" spans="1:7" ht="12" customHeight="1" x14ac:dyDescent="0.2">
      <c r="A465" s="20"/>
      <c r="B465" s="21"/>
      <c r="C465" s="22"/>
      <c r="D465" s="23"/>
      <c r="E465" s="24"/>
      <c r="F465" s="24"/>
      <c r="G465" s="21"/>
    </row>
    <row r="466" spans="1:7" ht="12" customHeight="1" x14ac:dyDescent="0.2">
      <c r="A466" s="20"/>
      <c r="B466" s="21"/>
      <c r="C466" s="22"/>
      <c r="D466" s="23"/>
      <c r="E466" s="24"/>
      <c r="F466" s="24"/>
      <c r="G466" s="21"/>
    </row>
    <row r="467" spans="1:7" ht="12" customHeight="1" x14ac:dyDescent="0.2">
      <c r="A467" s="20"/>
      <c r="B467" s="21"/>
      <c r="C467" s="22"/>
      <c r="D467" s="23"/>
      <c r="E467" s="24"/>
      <c r="F467" s="24"/>
      <c r="G467" s="21"/>
    </row>
    <row r="468" spans="1:7" ht="12" customHeight="1" x14ac:dyDescent="0.2">
      <c r="A468" s="20"/>
      <c r="B468" s="21"/>
      <c r="C468" s="22"/>
      <c r="D468" s="23"/>
      <c r="E468" s="24"/>
      <c r="F468" s="24"/>
      <c r="G468" s="21"/>
    </row>
    <row r="469" spans="1:7" ht="12" customHeight="1" x14ac:dyDescent="0.2">
      <c r="A469" s="20"/>
      <c r="B469" s="21"/>
      <c r="C469" s="22"/>
      <c r="D469" s="23"/>
      <c r="E469" s="24"/>
      <c r="F469" s="24"/>
      <c r="G469" s="21"/>
    </row>
    <row r="470" spans="1:7" ht="12" customHeight="1" x14ac:dyDescent="0.2">
      <c r="A470" s="20"/>
      <c r="B470" s="21"/>
      <c r="C470" s="22"/>
      <c r="D470" s="23"/>
      <c r="E470" s="24"/>
      <c r="F470" s="24"/>
      <c r="G470" s="21"/>
    </row>
    <row r="471" spans="1:7" ht="12" customHeight="1" x14ac:dyDescent="0.2">
      <c r="A471" s="20"/>
      <c r="B471" s="21"/>
      <c r="C471" s="22"/>
      <c r="D471" s="23"/>
      <c r="E471" s="24"/>
      <c r="F471" s="24"/>
      <c r="G471" s="21"/>
    </row>
    <row r="472" spans="1:7" ht="12" customHeight="1" x14ac:dyDescent="0.2">
      <c r="A472" s="20"/>
      <c r="B472" s="21"/>
      <c r="C472" s="22"/>
      <c r="D472" s="23"/>
      <c r="E472" s="24"/>
      <c r="F472" s="24"/>
      <c r="G472" s="21"/>
    </row>
    <row r="473" spans="1:7" ht="12" customHeight="1" x14ac:dyDescent="0.2">
      <c r="A473" s="20"/>
      <c r="B473" s="21"/>
      <c r="C473" s="22"/>
      <c r="D473" s="23"/>
      <c r="E473" s="24"/>
      <c r="F473" s="24"/>
      <c r="G473" s="21"/>
    </row>
    <row r="474" spans="1:7" ht="12" customHeight="1" x14ac:dyDescent="0.2">
      <c r="A474" s="20"/>
      <c r="B474" s="21"/>
      <c r="C474" s="22"/>
      <c r="D474" s="23"/>
      <c r="E474" s="24"/>
      <c r="F474" s="24"/>
      <c r="G474" s="21"/>
    </row>
    <row r="475" spans="1:7" ht="12" customHeight="1" x14ac:dyDescent="0.2">
      <c r="A475" s="20"/>
      <c r="B475" s="21"/>
      <c r="C475" s="22"/>
      <c r="D475" s="23"/>
      <c r="E475" s="24"/>
      <c r="F475" s="24"/>
      <c r="G475" s="21"/>
    </row>
    <row r="476" spans="1:7" ht="12" customHeight="1" x14ac:dyDescent="0.2">
      <c r="A476" s="20"/>
      <c r="B476" s="21"/>
      <c r="C476" s="22"/>
      <c r="D476" s="23"/>
      <c r="E476" s="24"/>
      <c r="F476" s="24"/>
      <c r="G476" s="21"/>
    </row>
    <row r="477" spans="1:7" ht="12" customHeight="1" x14ac:dyDescent="0.2">
      <c r="A477" s="20"/>
      <c r="B477" s="21"/>
      <c r="C477" s="22"/>
      <c r="D477" s="23"/>
      <c r="E477" s="24"/>
      <c r="F477" s="24"/>
      <c r="G477" s="21"/>
    </row>
    <row r="478" spans="1:7" ht="12" customHeight="1" x14ac:dyDescent="0.2">
      <c r="A478" s="20"/>
      <c r="B478" s="21"/>
      <c r="C478" s="22"/>
      <c r="D478" s="23"/>
      <c r="E478" s="24"/>
      <c r="F478" s="24"/>
      <c r="G478" s="21"/>
    </row>
    <row r="479" spans="1:7" ht="12" customHeight="1" x14ac:dyDescent="0.2">
      <c r="A479" s="20"/>
      <c r="B479" s="21"/>
      <c r="C479" s="22"/>
      <c r="D479" s="23"/>
      <c r="E479" s="24"/>
      <c r="F479" s="24"/>
      <c r="G479" s="21"/>
    </row>
    <row r="480" spans="1:7" ht="12" customHeight="1" x14ac:dyDescent="0.2">
      <c r="A480" s="20"/>
      <c r="B480" s="21"/>
      <c r="C480" s="22"/>
      <c r="D480" s="23"/>
      <c r="E480" s="24"/>
      <c r="F480" s="24"/>
      <c r="G480" s="21"/>
    </row>
    <row r="481" spans="1:7" ht="12" customHeight="1" x14ac:dyDescent="0.2">
      <c r="A481" s="20"/>
      <c r="B481" s="21"/>
      <c r="C481" s="22"/>
      <c r="D481" s="23"/>
      <c r="E481" s="24"/>
      <c r="F481" s="24"/>
      <c r="G481" s="21"/>
    </row>
    <row r="482" spans="1:7" ht="12" customHeight="1" x14ac:dyDescent="0.2">
      <c r="A482" s="20"/>
      <c r="B482" s="21"/>
      <c r="C482" s="22"/>
      <c r="D482" s="23"/>
      <c r="E482" s="24"/>
      <c r="F482" s="24"/>
      <c r="G482" s="21"/>
    </row>
    <row r="483" spans="1:7" ht="12" customHeight="1" x14ac:dyDescent="0.2">
      <c r="A483" s="20"/>
      <c r="B483" s="21"/>
      <c r="C483" s="22"/>
      <c r="D483" s="23"/>
      <c r="E483" s="24"/>
      <c r="F483" s="24"/>
      <c r="G483" s="21"/>
    </row>
    <row r="484" spans="1:7" ht="12" customHeight="1" x14ac:dyDescent="0.2">
      <c r="A484" s="20"/>
      <c r="B484" s="21"/>
      <c r="C484" s="22"/>
      <c r="D484" s="23"/>
      <c r="E484" s="24"/>
      <c r="F484" s="24"/>
      <c r="G484" s="21"/>
    </row>
    <row r="485" spans="1:7" ht="12" customHeight="1" x14ac:dyDescent="0.2">
      <c r="A485" s="20"/>
      <c r="B485" s="21"/>
      <c r="C485" s="22"/>
      <c r="D485" s="23"/>
      <c r="E485" s="24"/>
      <c r="F485" s="24"/>
      <c r="G485" s="21"/>
    </row>
    <row r="486" spans="1:7" ht="12" customHeight="1" x14ac:dyDescent="0.2">
      <c r="A486" s="20"/>
      <c r="B486" s="21"/>
      <c r="C486" s="22"/>
      <c r="D486" s="23"/>
      <c r="E486" s="24"/>
      <c r="F486" s="24"/>
      <c r="G486" s="21"/>
    </row>
    <row r="487" spans="1:7" ht="12" customHeight="1" x14ac:dyDescent="0.2">
      <c r="A487" s="20"/>
      <c r="B487" s="21"/>
      <c r="C487" s="22"/>
      <c r="D487" s="23"/>
      <c r="E487" s="24"/>
      <c r="F487" s="24"/>
      <c r="G487" s="21"/>
    </row>
    <row r="488" spans="1:7" ht="12" customHeight="1" x14ac:dyDescent="0.2">
      <c r="A488" s="20"/>
      <c r="B488" s="21"/>
      <c r="C488" s="22"/>
      <c r="D488" s="23"/>
      <c r="E488" s="24"/>
      <c r="F488" s="24"/>
      <c r="G488" s="21"/>
    </row>
    <row r="489" spans="1:7" ht="12" customHeight="1" x14ac:dyDescent="0.2">
      <c r="A489" s="20"/>
      <c r="B489" s="21"/>
      <c r="C489" s="22"/>
      <c r="D489" s="23"/>
      <c r="E489" s="24"/>
      <c r="F489" s="24"/>
      <c r="G489" s="21"/>
    </row>
    <row r="490" spans="1:7" ht="12" customHeight="1" x14ac:dyDescent="0.2">
      <c r="A490" s="20"/>
      <c r="B490" s="21"/>
      <c r="C490" s="22"/>
      <c r="D490" s="23"/>
      <c r="E490" s="24"/>
      <c r="F490" s="24"/>
      <c r="G490" s="21"/>
    </row>
    <row r="491" spans="1:7" ht="12" customHeight="1" x14ac:dyDescent="0.2">
      <c r="A491" s="20"/>
      <c r="B491" s="21"/>
      <c r="C491" s="22"/>
      <c r="D491" s="23"/>
      <c r="E491" s="24"/>
      <c r="F491" s="24"/>
      <c r="G491" s="21"/>
    </row>
    <row r="492" spans="1:7" ht="12" customHeight="1" x14ac:dyDescent="0.2">
      <c r="A492" s="20"/>
      <c r="B492" s="21"/>
      <c r="C492" s="22"/>
      <c r="D492" s="23"/>
      <c r="E492" s="24"/>
      <c r="F492" s="24"/>
      <c r="G492" s="21"/>
    </row>
    <row r="493" spans="1:7" ht="12" customHeight="1" x14ac:dyDescent="0.2">
      <c r="A493" s="20"/>
      <c r="B493" s="21"/>
      <c r="C493" s="22"/>
      <c r="D493" s="23"/>
      <c r="E493" s="24"/>
      <c r="F493" s="24"/>
      <c r="G493" s="21"/>
    </row>
    <row r="494" spans="1:7" ht="12" customHeight="1" x14ac:dyDescent="0.2">
      <c r="A494" s="20"/>
      <c r="B494" s="21"/>
      <c r="C494" s="22"/>
      <c r="D494" s="23"/>
      <c r="E494" s="24"/>
      <c r="F494" s="24"/>
      <c r="G494" s="21"/>
    </row>
    <row r="495" spans="1:7" ht="12" customHeight="1" x14ac:dyDescent="0.2">
      <c r="A495" s="20"/>
      <c r="B495" s="21"/>
      <c r="C495" s="22"/>
      <c r="D495" s="23"/>
      <c r="E495" s="24"/>
      <c r="F495" s="24"/>
      <c r="G495" s="21"/>
    </row>
    <row r="496" spans="1:7" ht="12" customHeight="1" x14ac:dyDescent="0.2">
      <c r="A496" s="20"/>
      <c r="B496" s="21"/>
      <c r="C496" s="22"/>
      <c r="D496" s="23"/>
      <c r="E496" s="24"/>
      <c r="F496" s="24"/>
      <c r="G496" s="21"/>
    </row>
    <row r="497" spans="1:7" ht="12" customHeight="1" x14ac:dyDescent="0.2">
      <c r="A497" s="20"/>
      <c r="B497" s="21"/>
      <c r="C497" s="22"/>
      <c r="D497" s="23"/>
      <c r="E497" s="24"/>
      <c r="F497" s="24"/>
      <c r="G497" s="21"/>
    </row>
    <row r="498" spans="1:7" ht="12" customHeight="1" x14ac:dyDescent="0.2">
      <c r="A498" s="20"/>
      <c r="B498" s="21"/>
      <c r="C498" s="22"/>
      <c r="D498" s="23"/>
      <c r="E498" s="24"/>
      <c r="F498" s="24"/>
      <c r="G498" s="21"/>
    </row>
    <row r="499" spans="1:7" ht="12" customHeight="1" x14ac:dyDescent="0.2">
      <c r="A499" s="20"/>
      <c r="B499" s="21"/>
      <c r="C499" s="22"/>
      <c r="D499" s="23"/>
      <c r="E499" s="24"/>
      <c r="F499" s="24"/>
      <c r="G499" s="21"/>
    </row>
    <row r="500" spans="1:7" ht="12" customHeight="1" x14ac:dyDescent="0.2">
      <c r="A500" s="20"/>
      <c r="B500" s="21"/>
      <c r="C500" s="22"/>
      <c r="D500" s="23"/>
      <c r="E500" s="24"/>
      <c r="F500" s="24"/>
      <c r="G500" s="21"/>
    </row>
    <row r="501" spans="1:7" ht="12" customHeight="1" x14ac:dyDescent="0.2">
      <c r="A501" s="20"/>
      <c r="B501" s="21"/>
      <c r="C501" s="22"/>
      <c r="D501" s="23"/>
      <c r="E501" s="24"/>
      <c r="F501" s="24"/>
      <c r="G501" s="21"/>
    </row>
    <row r="502" spans="1:7" ht="12" customHeight="1" x14ac:dyDescent="0.2">
      <c r="A502" s="20"/>
      <c r="B502" s="21"/>
      <c r="C502" s="22"/>
      <c r="D502" s="23"/>
      <c r="E502" s="24"/>
      <c r="F502" s="24"/>
      <c r="G502" s="21"/>
    </row>
    <row r="503" spans="1:7" ht="12" customHeight="1" x14ac:dyDescent="0.2">
      <c r="A503" s="20"/>
      <c r="B503" s="21"/>
      <c r="C503" s="22"/>
      <c r="D503" s="23"/>
      <c r="E503" s="24"/>
      <c r="F503" s="24"/>
      <c r="G503" s="21"/>
    </row>
    <row r="504" spans="1:7" ht="12" customHeight="1" x14ac:dyDescent="0.2">
      <c r="A504" s="20"/>
      <c r="B504" s="21"/>
      <c r="C504" s="22"/>
      <c r="D504" s="23"/>
      <c r="E504" s="24"/>
      <c r="F504" s="24"/>
      <c r="G504" s="21"/>
    </row>
    <row r="505" spans="1:7" ht="12" customHeight="1" x14ac:dyDescent="0.2">
      <c r="A505" s="20"/>
      <c r="B505" s="21"/>
      <c r="C505" s="22"/>
      <c r="D505" s="23"/>
      <c r="E505" s="24"/>
      <c r="F505" s="24"/>
      <c r="G505" s="21"/>
    </row>
    <row r="506" spans="1:7" ht="12" customHeight="1" x14ac:dyDescent="0.2">
      <c r="A506" s="20"/>
      <c r="B506" s="21"/>
      <c r="C506" s="22"/>
      <c r="D506" s="23"/>
      <c r="E506" s="24"/>
      <c r="F506" s="24"/>
      <c r="G506" s="21"/>
    </row>
    <row r="507" spans="1:7" ht="12" customHeight="1" x14ac:dyDescent="0.2">
      <c r="A507" s="20"/>
      <c r="B507" s="21"/>
      <c r="C507" s="22"/>
      <c r="D507" s="23"/>
      <c r="E507" s="24"/>
      <c r="F507" s="24"/>
      <c r="G507" s="21"/>
    </row>
    <row r="508" spans="1:7" ht="12" customHeight="1" x14ac:dyDescent="0.2">
      <c r="A508" s="20"/>
      <c r="B508" s="21"/>
      <c r="C508" s="22"/>
      <c r="D508" s="23"/>
      <c r="E508" s="24"/>
      <c r="F508" s="24"/>
      <c r="G508" s="21"/>
    </row>
    <row r="509" spans="1:7" ht="12" customHeight="1" x14ac:dyDescent="0.2">
      <c r="A509" s="20"/>
      <c r="B509" s="21"/>
      <c r="C509" s="22"/>
      <c r="D509" s="23"/>
      <c r="E509" s="24"/>
      <c r="F509" s="24"/>
      <c r="G509" s="21"/>
    </row>
    <row r="510" spans="1:7" ht="12" customHeight="1" x14ac:dyDescent="0.2">
      <c r="A510" s="20"/>
      <c r="B510" s="21"/>
      <c r="C510" s="22"/>
      <c r="D510" s="23"/>
      <c r="E510" s="24"/>
      <c r="F510" s="24"/>
      <c r="G510" s="21"/>
    </row>
    <row r="511" spans="1:7" ht="12" customHeight="1" x14ac:dyDescent="0.2">
      <c r="A511" s="20"/>
      <c r="B511" s="21"/>
      <c r="C511" s="22"/>
      <c r="D511" s="23"/>
      <c r="E511" s="24"/>
      <c r="F511" s="24"/>
      <c r="G511" s="21"/>
    </row>
    <row r="512" spans="1:7" ht="12" customHeight="1" x14ac:dyDescent="0.2">
      <c r="A512" s="20"/>
      <c r="B512" s="21"/>
      <c r="C512" s="22"/>
      <c r="D512" s="23"/>
      <c r="E512" s="24"/>
      <c r="F512" s="24"/>
      <c r="G512" s="21"/>
    </row>
    <row r="513" spans="1:7" ht="12" customHeight="1" x14ac:dyDescent="0.2">
      <c r="A513" s="20"/>
      <c r="B513" s="21"/>
      <c r="C513" s="22"/>
      <c r="D513" s="23"/>
      <c r="E513" s="24"/>
      <c r="F513" s="24"/>
      <c r="G513" s="21"/>
    </row>
    <row r="514" spans="1:7" ht="12" customHeight="1" x14ac:dyDescent="0.2">
      <c r="A514" s="20"/>
      <c r="B514" s="21"/>
      <c r="C514" s="22"/>
      <c r="D514" s="23"/>
      <c r="E514" s="24"/>
      <c r="F514" s="24"/>
      <c r="G514" s="21"/>
    </row>
    <row r="515" spans="1:7" ht="12" customHeight="1" x14ac:dyDescent="0.2">
      <c r="A515" s="20"/>
      <c r="B515" s="21"/>
      <c r="C515" s="22"/>
      <c r="D515" s="23"/>
      <c r="E515" s="24"/>
      <c r="F515" s="24"/>
      <c r="G515" s="21"/>
    </row>
    <row r="516" spans="1:7" ht="12" customHeight="1" x14ac:dyDescent="0.2">
      <c r="A516" s="20"/>
      <c r="B516" s="21"/>
      <c r="C516" s="22"/>
      <c r="D516" s="23"/>
      <c r="E516" s="24"/>
      <c r="F516" s="24"/>
      <c r="G516" s="21"/>
    </row>
    <row r="517" spans="1:7" ht="12" customHeight="1" x14ac:dyDescent="0.2">
      <c r="A517" s="20"/>
      <c r="B517" s="21"/>
      <c r="C517" s="22"/>
      <c r="D517" s="23"/>
      <c r="E517" s="24"/>
      <c r="F517" s="24"/>
      <c r="G517" s="21"/>
    </row>
    <row r="518" spans="1:7" ht="12" customHeight="1" x14ac:dyDescent="0.2">
      <c r="A518" s="20"/>
      <c r="B518" s="21"/>
      <c r="C518" s="22"/>
      <c r="D518" s="23"/>
      <c r="E518" s="24"/>
      <c r="F518" s="24"/>
      <c r="G518" s="21"/>
    </row>
    <row r="519" spans="1:7" ht="12" customHeight="1" x14ac:dyDescent="0.2">
      <c r="A519" s="20"/>
      <c r="B519" s="21"/>
      <c r="C519" s="22"/>
      <c r="D519" s="23"/>
      <c r="E519" s="24"/>
      <c r="F519" s="24"/>
      <c r="G519" s="21"/>
    </row>
    <row r="520" spans="1:7" ht="12" customHeight="1" x14ac:dyDescent="0.2">
      <c r="A520" s="20"/>
      <c r="B520" s="21"/>
      <c r="C520" s="22"/>
      <c r="D520" s="23"/>
      <c r="E520" s="24"/>
      <c r="F520" s="24"/>
      <c r="G520" s="21"/>
    </row>
    <row r="521" spans="1:7" ht="12" customHeight="1" x14ac:dyDescent="0.2">
      <c r="A521" s="20"/>
      <c r="B521" s="21"/>
      <c r="C521" s="22"/>
      <c r="D521" s="23"/>
      <c r="E521" s="24"/>
      <c r="F521" s="24"/>
      <c r="G521" s="21"/>
    </row>
    <row r="522" spans="1:7" ht="12" customHeight="1" x14ac:dyDescent="0.2">
      <c r="A522" s="20"/>
      <c r="B522" s="21"/>
      <c r="C522" s="22"/>
      <c r="D522" s="23"/>
      <c r="E522" s="24"/>
      <c r="F522" s="24"/>
      <c r="G522" s="21"/>
    </row>
    <row r="523" spans="1:7" ht="12" customHeight="1" x14ac:dyDescent="0.2">
      <c r="A523" s="20"/>
      <c r="B523" s="21"/>
      <c r="C523" s="22"/>
      <c r="D523" s="23"/>
      <c r="E523" s="24"/>
      <c r="F523" s="24"/>
      <c r="G523" s="21"/>
    </row>
    <row r="524" spans="1:7" ht="12" customHeight="1" x14ac:dyDescent="0.2">
      <c r="A524" s="20"/>
      <c r="B524" s="21"/>
      <c r="C524" s="22"/>
      <c r="D524" s="23"/>
      <c r="E524" s="24"/>
      <c r="F524" s="24"/>
      <c r="G524" s="21"/>
    </row>
    <row r="525" spans="1:7" ht="12" customHeight="1" x14ac:dyDescent="0.2">
      <c r="A525" s="20"/>
      <c r="B525" s="21"/>
      <c r="C525" s="22"/>
      <c r="D525" s="23"/>
      <c r="E525" s="24"/>
      <c r="F525" s="24"/>
      <c r="G525" s="21"/>
    </row>
    <row r="526" spans="1:7" ht="12" customHeight="1" x14ac:dyDescent="0.2">
      <c r="A526" s="20"/>
      <c r="B526" s="21"/>
      <c r="C526" s="22"/>
      <c r="D526" s="23"/>
      <c r="E526" s="24"/>
      <c r="F526" s="24"/>
      <c r="G526" s="21"/>
    </row>
    <row r="527" spans="1:7" ht="12" customHeight="1" x14ac:dyDescent="0.2">
      <c r="A527" s="20"/>
      <c r="B527" s="21"/>
      <c r="C527" s="22"/>
      <c r="D527" s="23"/>
      <c r="E527" s="24"/>
      <c r="F527" s="24"/>
      <c r="G527" s="21"/>
    </row>
    <row r="528" spans="1:7" ht="12" customHeight="1" x14ac:dyDescent="0.2">
      <c r="A528" s="20"/>
      <c r="B528" s="21"/>
      <c r="C528" s="22"/>
      <c r="D528" s="23"/>
      <c r="E528" s="24"/>
      <c r="F528" s="24"/>
      <c r="G528" s="21"/>
    </row>
    <row r="529" spans="1:7" ht="12" customHeight="1" x14ac:dyDescent="0.2">
      <c r="A529" s="20"/>
      <c r="B529" s="21"/>
      <c r="C529" s="22"/>
      <c r="D529" s="23"/>
      <c r="E529" s="24"/>
      <c r="F529" s="24"/>
      <c r="G529" s="21"/>
    </row>
    <row r="530" spans="1:7" ht="12" customHeight="1" x14ac:dyDescent="0.2">
      <c r="A530" s="20"/>
      <c r="B530" s="21"/>
      <c r="C530" s="22"/>
      <c r="D530" s="23"/>
      <c r="E530" s="24"/>
      <c r="F530" s="24"/>
      <c r="G530" s="21"/>
    </row>
    <row r="531" spans="1:7" ht="12" customHeight="1" x14ac:dyDescent="0.2">
      <c r="A531" s="20"/>
      <c r="B531" s="21"/>
      <c r="C531" s="22"/>
      <c r="D531" s="23"/>
      <c r="E531" s="24"/>
      <c r="F531" s="24"/>
      <c r="G531" s="21"/>
    </row>
    <row r="532" spans="1:7" ht="12" customHeight="1" x14ac:dyDescent="0.2">
      <c r="A532" s="20"/>
      <c r="B532" s="21"/>
      <c r="C532" s="22"/>
      <c r="D532" s="23"/>
      <c r="E532" s="24"/>
      <c r="F532" s="24"/>
      <c r="G532" s="21"/>
    </row>
    <row r="533" spans="1:7" ht="12" customHeight="1" x14ac:dyDescent="0.2">
      <c r="A533" s="20"/>
      <c r="B533" s="21"/>
      <c r="C533" s="22"/>
      <c r="D533" s="23"/>
      <c r="E533" s="24"/>
      <c r="F533" s="24"/>
      <c r="G533" s="21"/>
    </row>
    <row r="534" spans="1:7" ht="12" customHeight="1" x14ac:dyDescent="0.2">
      <c r="A534" s="20"/>
      <c r="B534" s="21"/>
      <c r="C534" s="22"/>
      <c r="D534" s="23"/>
      <c r="E534" s="24"/>
      <c r="F534" s="24"/>
      <c r="G534" s="21"/>
    </row>
    <row r="535" spans="1:7" ht="12" customHeight="1" x14ac:dyDescent="0.2">
      <c r="A535" s="20"/>
      <c r="B535" s="21"/>
      <c r="C535" s="22"/>
      <c r="D535" s="23"/>
      <c r="E535" s="24"/>
      <c r="F535" s="24"/>
      <c r="G535" s="21"/>
    </row>
    <row r="536" spans="1:7" ht="12" customHeight="1" x14ac:dyDescent="0.2">
      <c r="A536" s="20"/>
      <c r="B536" s="21"/>
      <c r="C536" s="22"/>
      <c r="D536" s="23"/>
      <c r="E536" s="24"/>
      <c r="F536" s="24"/>
      <c r="G536" s="21"/>
    </row>
    <row r="537" spans="1:7" ht="12" customHeight="1" x14ac:dyDescent="0.2">
      <c r="A537" s="20"/>
      <c r="B537" s="21"/>
      <c r="C537" s="22"/>
      <c r="D537" s="23"/>
      <c r="E537" s="24"/>
      <c r="F537" s="24"/>
      <c r="G537" s="21"/>
    </row>
    <row r="538" spans="1:7" ht="12" customHeight="1" x14ac:dyDescent="0.2">
      <c r="A538" s="20"/>
      <c r="B538" s="21"/>
      <c r="C538" s="22"/>
      <c r="D538" s="23"/>
      <c r="E538" s="24"/>
      <c r="F538" s="24"/>
      <c r="G538" s="21"/>
    </row>
    <row r="539" spans="1:7" ht="12" customHeight="1" x14ac:dyDescent="0.2">
      <c r="A539" s="20"/>
      <c r="B539" s="21"/>
      <c r="C539" s="22"/>
      <c r="D539" s="23"/>
      <c r="E539" s="24"/>
      <c r="F539" s="24"/>
      <c r="G539" s="21"/>
    </row>
    <row r="540" spans="1:7" ht="12" customHeight="1" x14ac:dyDescent="0.2">
      <c r="A540" s="20"/>
      <c r="B540" s="21"/>
      <c r="C540" s="22"/>
      <c r="D540" s="23"/>
      <c r="E540" s="24"/>
      <c r="F540" s="24"/>
      <c r="G540" s="21"/>
    </row>
    <row r="541" spans="1:7" ht="12" customHeight="1" x14ac:dyDescent="0.2">
      <c r="A541" s="20"/>
      <c r="B541" s="21"/>
      <c r="C541" s="22"/>
      <c r="D541" s="23"/>
      <c r="E541" s="24"/>
      <c r="F541" s="24"/>
      <c r="G541" s="21"/>
    </row>
    <row r="542" spans="1:7" ht="12" customHeight="1" x14ac:dyDescent="0.2">
      <c r="A542" s="20"/>
      <c r="B542" s="21"/>
      <c r="C542" s="22"/>
      <c r="D542" s="23"/>
      <c r="E542" s="24"/>
      <c r="F542" s="24"/>
      <c r="G542" s="21"/>
    </row>
    <row r="543" spans="1:7" ht="12" customHeight="1" x14ac:dyDescent="0.2">
      <c r="A543" s="20"/>
      <c r="B543" s="21"/>
      <c r="C543" s="22"/>
      <c r="D543" s="23"/>
      <c r="E543" s="24"/>
      <c r="F543" s="24"/>
      <c r="G543" s="21"/>
    </row>
    <row r="544" spans="1:7" ht="12" customHeight="1" x14ac:dyDescent="0.2">
      <c r="A544" s="20"/>
      <c r="B544" s="21"/>
      <c r="C544" s="22"/>
      <c r="D544" s="23"/>
      <c r="E544" s="24"/>
      <c r="F544" s="24"/>
      <c r="G544" s="21"/>
    </row>
    <row r="545" spans="1:7" ht="12" customHeight="1" x14ac:dyDescent="0.2">
      <c r="A545" s="20"/>
      <c r="B545" s="21"/>
      <c r="C545" s="22"/>
      <c r="D545" s="23"/>
      <c r="E545" s="24"/>
      <c r="F545" s="24"/>
      <c r="G545" s="21"/>
    </row>
    <row r="546" spans="1:7" ht="12" customHeight="1" x14ac:dyDescent="0.2">
      <c r="A546" s="20"/>
      <c r="B546" s="21"/>
      <c r="C546" s="22"/>
      <c r="D546" s="23"/>
      <c r="E546" s="24"/>
      <c r="F546" s="24"/>
      <c r="G546" s="21"/>
    </row>
    <row r="547" spans="1:7" ht="12" customHeight="1" x14ac:dyDescent="0.2">
      <c r="A547" s="20"/>
      <c r="B547" s="21"/>
      <c r="C547" s="22"/>
      <c r="D547" s="23"/>
      <c r="E547" s="24"/>
      <c r="F547" s="24"/>
      <c r="G547" s="21"/>
    </row>
    <row r="548" spans="1:7" ht="12" customHeight="1" x14ac:dyDescent="0.2">
      <c r="A548" s="20"/>
      <c r="B548" s="21"/>
      <c r="C548" s="22"/>
      <c r="D548" s="23"/>
      <c r="E548" s="24"/>
      <c r="F548" s="24"/>
      <c r="G548" s="21"/>
    </row>
    <row r="549" spans="1:7" ht="12" customHeight="1" x14ac:dyDescent="0.2">
      <c r="A549" s="20"/>
      <c r="B549" s="21"/>
      <c r="C549" s="22"/>
      <c r="D549" s="23"/>
      <c r="E549" s="24"/>
      <c r="F549" s="24"/>
      <c r="G549" s="21"/>
    </row>
    <row r="550" spans="1:7" ht="12" customHeight="1" x14ac:dyDescent="0.2">
      <c r="A550" s="20"/>
      <c r="B550" s="21"/>
      <c r="C550" s="22"/>
      <c r="D550" s="23"/>
      <c r="E550" s="24"/>
      <c r="F550" s="24"/>
      <c r="G550" s="21"/>
    </row>
    <row r="551" spans="1:7" ht="12" customHeight="1" x14ac:dyDescent="0.2">
      <c r="A551" s="20"/>
      <c r="B551" s="21"/>
      <c r="C551" s="22"/>
      <c r="D551" s="23"/>
      <c r="E551" s="24"/>
      <c r="F551" s="24"/>
      <c r="G551" s="21"/>
    </row>
    <row r="552" spans="1:7" ht="12" customHeight="1" x14ac:dyDescent="0.2">
      <c r="A552" s="20"/>
      <c r="B552" s="21"/>
      <c r="C552" s="22"/>
      <c r="D552" s="23"/>
      <c r="E552" s="24"/>
      <c r="F552" s="24"/>
      <c r="G552" s="21"/>
    </row>
    <row r="553" spans="1:7" ht="12" customHeight="1" x14ac:dyDescent="0.2">
      <c r="A553" s="20"/>
      <c r="B553" s="21"/>
      <c r="C553" s="22"/>
      <c r="D553" s="23"/>
      <c r="E553" s="24"/>
      <c r="F553" s="24"/>
      <c r="G553" s="21"/>
    </row>
    <row r="554" spans="1:7" ht="12" customHeight="1" x14ac:dyDescent="0.2">
      <c r="A554" s="20"/>
      <c r="B554" s="21"/>
      <c r="C554" s="22"/>
      <c r="D554" s="23"/>
      <c r="E554" s="24"/>
      <c r="F554" s="24"/>
      <c r="G554" s="21"/>
    </row>
    <row r="555" spans="1:7" ht="12" customHeight="1" x14ac:dyDescent="0.2">
      <c r="A555" s="20"/>
      <c r="B555" s="21"/>
      <c r="C555" s="22"/>
      <c r="D555" s="23"/>
      <c r="E555" s="24"/>
      <c r="F555" s="24"/>
      <c r="G555" s="21"/>
    </row>
    <row r="556" spans="1:7" ht="12" customHeight="1" x14ac:dyDescent="0.2">
      <c r="A556" s="20"/>
      <c r="B556" s="21"/>
      <c r="C556" s="22"/>
      <c r="D556" s="23"/>
      <c r="E556" s="24"/>
      <c r="F556" s="24"/>
      <c r="G556" s="21"/>
    </row>
    <row r="557" spans="1:7" ht="12" customHeight="1" x14ac:dyDescent="0.2">
      <c r="A557" s="20"/>
      <c r="B557" s="21"/>
      <c r="C557" s="22"/>
      <c r="D557" s="23"/>
      <c r="E557" s="24"/>
      <c r="F557" s="24"/>
      <c r="G557" s="21"/>
    </row>
    <row r="558" spans="1:7" ht="12" customHeight="1" x14ac:dyDescent="0.2">
      <c r="A558" s="20"/>
      <c r="B558" s="21"/>
      <c r="C558" s="22"/>
      <c r="D558" s="23"/>
      <c r="E558" s="24"/>
      <c r="F558" s="24"/>
      <c r="G558" s="21"/>
    </row>
    <row r="559" spans="1:7" ht="12" customHeight="1" x14ac:dyDescent="0.2">
      <c r="A559" s="20"/>
      <c r="B559" s="21"/>
      <c r="C559" s="22"/>
      <c r="D559" s="23"/>
      <c r="E559" s="24"/>
      <c r="F559" s="24"/>
      <c r="G559" s="21"/>
    </row>
    <row r="560" spans="1:7" ht="12" customHeight="1" x14ac:dyDescent="0.2">
      <c r="A560" s="20"/>
      <c r="B560" s="21"/>
      <c r="C560" s="22"/>
      <c r="D560" s="23"/>
      <c r="E560" s="24"/>
      <c r="F560" s="24"/>
      <c r="G560" s="21"/>
    </row>
    <row r="561" spans="1:7" ht="12" customHeight="1" x14ac:dyDescent="0.2">
      <c r="A561" s="20"/>
      <c r="B561" s="21"/>
      <c r="C561" s="22"/>
      <c r="D561" s="23"/>
      <c r="E561" s="24"/>
      <c r="F561" s="24"/>
      <c r="G561" s="21"/>
    </row>
    <row r="562" spans="1:7" ht="12" customHeight="1" x14ac:dyDescent="0.2">
      <c r="A562" s="20"/>
      <c r="B562" s="21"/>
      <c r="C562" s="22"/>
      <c r="D562" s="23"/>
      <c r="E562" s="24"/>
      <c r="F562" s="24"/>
      <c r="G562" s="21"/>
    </row>
    <row r="563" spans="1:7" ht="12" customHeight="1" x14ac:dyDescent="0.2">
      <c r="A563" s="20"/>
      <c r="B563" s="21"/>
      <c r="C563" s="22"/>
      <c r="D563" s="23"/>
      <c r="E563" s="24"/>
      <c r="F563" s="24"/>
      <c r="G563" s="21"/>
    </row>
    <row r="564" spans="1:7" ht="12" customHeight="1" x14ac:dyDescent="0.2">
      <c r="A564" s="20"/>
      <c r="B564" s="21"/>
      <c r="C564" s="22"/>
      <c r="D564" s="23"/>
      <c r="E564" s="24"/>
      <c r="F564" s="24"/>
      <c r="G564" s="21"/>
    </row>
    <row r="565" spans="1:7" ht="12" customHeight="1" x14ac:dyDescent="0.2">
      <c r="A565" s="20"/>
      <c r="B565" s="21"/>
      <c r="C565" s="22"/>
      <c r="D565" s="23"/>
      <c r="E565" s="24"/>
      <c r="F565" s="24"/>
      <c r="G565" s="21"/>
    </row>
    <row r="566" spans="1:7" ht="12" customHeight="1" x14ac:dyDescent="0.2">
      <c r="A566" s="20"/>
      <c r="B566" s="21"/>
      <c r="C566" s="22"/>
      <c r="D566" s="23"/>
      <c r="E566" s="24"/>
      <c r="F566" s="24"/>
      <c r="G566" s="21"/>
    </row>
    <row r="567" spans="1:7" ht="12" customHeight="1" x14ac:dyDescent="0.2">
      <c r="A567" s="20"/>
      <c r="B567" s="21"/>
      <c r="C567" s="22"/>
      <c r="D567" s="23"/>
      <c r="E567" s="24"/>
      <c r="F567" s="24"/>
      <c r="G567" s="21"/>
    </row>
    <row r="568" spans="1:7" ht="12" customHeight="1" x14ac:dyDescent="0.2">
      <c r="A568" s="20"/>
      <c r="B568" s="21"/>
      <c r="C568" s="22"/>
      <c r="D568" s="23"/>
      <c r="E568" s="24"/>
      <c r="F568" s="24"/>
      <c r="G568" s="21"/>
    </row>
    <row r="569" spans="1:7" ht="12" customHeight="1" x14ac:dyDescent="0.2">
      <c r="A569" s="20"/>
      <c r="B569" s="21"/>
      <c r="C569" s="22"/>
      <c r="D569" s="23"/>
      <c r="E569" s="24"/>
      <c r="F569" s="24"/>
      <c r="G569" s="21"/>
    </row>
    <row r="570" spans="1:7" ht="12" customHeight="1" x14ac:dyDescent="0.2">
      <c r="A570" s="20"/>
      <c r="B570" s="21"/>
      <c r="C570" s="22"/>
      <c r="D570" s="23"/>
      <c r="E570" s="24"/>
      <c r="F570" s="24"/>
      <c r="G570" s="21"/>
    </row>
    <row r="571" spans="1:7" ht="12" customHeight="1" x14ac:dyDescent="0.2">
      <c r="A571" s="20"/>
      <c r="B571" s="21"/>
      <c r="C571" s="22"/>
      <c r="D571" s="23"/>
      <c r="E571" s="24"/>
      <c r="F571" s="24"/>
      <c r="G571" s="21"/>
    </row>
    <row r="572" spans="1:7" ht="12" customHeight="1" x14ac:dyDescent="0.2">
      <c r="A572" s="20"/>
      <c r="B572" s="21"/>
      <c r="C572" s="22"/>
      <c r="D572" s="23"/>
      <c r="E572" s="24"/>
      <c r="F572" s="24"/>
      <c r="G572" s="21"/>
    </row>
    <row r="573" spans="1:7" ht="12" customHeight="1" x14ac:dyDescent="0.2">
      <c r="A573" s="20"/>
      <c r="B573" s="21"/>
      <c r="C573" s="22"/>
      <c r="D573" s="23"/>
      <c r="E573" s="24"/>
      <c r="F573" s="24"/>
      <c r="G573" s="21"/>
    </row>
    <row r="574" spans="1:7" ht="12" customHeight="1" x14ac:dyDescent="0.2">
      <c r="A574" s="20"/>
      <c r="B574" s="21"/>
      <c r="C574" s="22"/>
      <c r="D574" s="23"/>
      <c r="E574" s="24"/>
      <c r="F574" s="24"/>
      <c r="G574" s="21"/>
    </row>
    <row r="575" spans="1:7" ht="12" customHeight="1" x14ac:dyDescent="0.2">
      <c r="A575" s="20"/>
      <c r="B575" s="21"/>
      <c r="C575" s="22"/>
      <c r="D575" s="23"/>
      <c r="E575" s="24"/>
      <c r="F575" s="24"/>
      <c r="G575" s="21"/>
    </row>
    <row r="576" spans="1:7" ht="12" customHeight="1" x14ac:dyDescent="0.2">
      <c r="A576" s="20"/>
      <c r="B576" s="21"/>
      <c r="C576" s="22"/>
      <c r="D576" s="23"/>
      <c r="E576" s="24"/>
      <c r="F576" s="24"/>
      <c r="G576" s="21"/>
    </row>
    <row r="577" spans="1:7" ht="12" customHeight="1" x14ac:dyDescent="0.2">
      <c r="A577" s="20"/>
      <c r="B577" s="21"/>
      <c r="C577" s="22"/>
      <c r="D577" s="23"/>
      <c r="E577" s="24"/>
      <c r="F577" s="24"/>
      <c r="G577" s="21"/>
    </row>
    <row r="578" spans="1:7" ht="12" customHeight="1" x14ac:dyDescent="0.2">
      <c r="A578" s="20"/>
      <c r="B578" s="21"/>
      <c r="C578" s="22"/>
      <c r="D578" s="23"/>
      <c r="E578" s="24"/>
      <c r="F578" s="24"/>
      <c r="G578" s="21"/>
    </row>
    <row r="579" spans="1:7" ht="12" customHeight="1" x14ac:dyDescent="0.2">
      <c r="A579" s="20"/>
      <c r="B579" s="21"/>
      <c r="C579" s="22"/>
      <c r="D579" s="23"/>
      <c r="E579" s="24"/>
      <c r="F579" s="24"/>
      <c r="G579" s="21"/>
    </row>
    <row r="580" spans="1:7" ht="12" customHeight="1" x14ac:dyDescent="0.2">
      <c r="A580" s="20"/>
      <c r="B580" s="21"/>
      <c r="C580" s="22"/>
      <c r="D580" s="23"/>
      <c r="E580" s="24"/>
      <c r="F580" s="24"/>
      <c r="G580" s="21"/>
    </row>
    <row r="581" spans="1:7" ht="12" customHeight="1" x14ac:dyDescent="0.2">
      <c r="A581" s="20"/>
      <c r="B581" s="21"/>
      <c r="C581" s="22"/>
      <c r="D581" s="23"/>
      <c r="E581" s="24"/>
      <c r="F581" s="24"/>
      <c r="G581" s="21"/>
    </row>
    <row r="582" spans="1:7" ht="12" customHeight="1" x14ac:dyDescent="0.2">
      <c r="A582" s="20"/>
      <c r="B582" s="21"/>
      <c r="C582" s="22"/>
      <c r="D582" s="23"/>
      <c r="E582" s="24"/>
      <c r="F582" s="24"/>
      <c r="G582" s="21"/>
    </row>
    <row r="583" spans="1:7" ht="12" customHeight="1" x14ac:dyDescent="0.2">
      <c r="A583" s="20"/>
      <c r="B583" s="21"/>
      <c r="C583" s="22"/>
      <c r="D583" s="23"/>
      <c r="E583" s="24"/>
      <c r="F583" s="24"/>
      <c r="G583" s="21"/>
    </row>
    <row r="584" spans="1:7" ht="12" customHeight="1" x14ac:dyDescent="0.2">
      <c r="A584" s="20"/>
      <c r="B584" s="21"/>
      <c r="C584" s="22"/>
      <c r="D584" s="23"/>
      <c r="E584" s="24"/>
      <c r="F584" s="24"/>
      <c r="G584" s="21"/>
    </row>
    <row r="585" spans="1:7" ht="12" customHeight="1" x14ac:dyDescent="0.2">
      <c r="A585" s="20"/>
      <c r="B585" s="21"/>
      <c r="C585" s="22"/>
      <c r="D585" s="23"/>
      <c r="E585" s="24"/>
      <c r="F585" s="24"/>
      <c r="G585" s="21"/>
    </row>
    <row r="586" spans="1:7" ht="12" customHeight="1" x14ac:dyDescent="0.2">
      <c r="A586" s="20"/>
      <c r="B586" s="21"/>
      <c r="C586" s="22"/>
      <c r="D586" s="23"/>
      <c r="E586" s="24"/>
      <c r="F586" s="24"/>
      <c r="G586" s="21"/>
    </row>
    <row r="587" spans="1:7" ht="12" customHeight="1" x14ac:dyDescent="0.2">
      <c r="A587" s="20"/>
      <c r="B587" s="21"/>
      <c r="C587" s="22"/>
      <c r="D587" s="23"/>
      <c r="E587" s="24"/>
      <c r="F587" s="24"/>
      <c r="G587" s="21"/>
    </row>
    <row r="588" spans="1:7" ht="12" customHeight="1" x14ac:dyDescent="0.2">
      <c r="A588" s="20"/>
      <c r="B588" s="21"/>
      <c r="C588" s="22"/>
      <c r="D588" s="23"/>
      <c r="E588" s="24"/>
      <c r="F588" s="24"/>
      <c r="G588" s="21"/>
    </row>
    <row r="589" spans="1:7" ht="12" customHeight="1" x14ac:dyDescent="0.2">
      <c r="A589" s="20"/>
      <c r="B589" s="21"/>
      <c r="C589" s="22"/>
      <c r="D589" s="23"/>
      <c r="E589" s="24"/>
      <c r="F589" s="24"/>
      <c r="G589" s="21"/>
    </row>
    <row r="590" spans="1:7" ht="12" customHeight="1" x14ac:dyDescent="0.2">
      <c r="A590" s="20"/>
      <c r="B590" s="21"/>
      <c r="C590" s="22"/>
      <c r="D590" s="23"/>
      <c r="E590" s="24"/>
      <c r="F590" s="24"/>
      <c r="G590" s="21"/>
    </row>
    <row r="591" spans="1:7" ht="12" customHeight="1" x14ac:dyDescent="0.2">
      <c r="A591" s="20"/>
      <c r="B591" s="21"/>
      <c r="C591" s="22"/>
      <c r="D591" s="23"/>
      <c r="E591" s="24"/>
      <c r="F591" s="24"/>
      <c r="G591" s="21"/>
    </row>
    <row r="592" spans="1:7" ht="12" customHeight="1" x14ac:dyDescent="0.2">
      <c r="A592" s="20"/>
      <c r="B592" s="21"/>
      <c r="C592" s="22"/>
      <c r="D592" s="23"/>
      <c r="E592" s="24"/>
      <c r="F592" s="24"/>
      <c r="G592" s="21"/>
    </row>
    <row r="593" spans="1:7" ht="12" customHeight="1" x14ac:dyDescent="0.2">
      <c r="A593" s="20"/>
      <c r="B593" s="21"/>
      <c r="C593" s="22"/>
      <c r="D593" s="23"/>
      <c r="E593" s="24"/>
      <c r="F593" s="24"/>
      <c r="G593" s="21"/>
    </row>
    <row r="594" spans="1:7" ht="12" customHeight="1" x14ac:dyDescent="0.2">
      <c r="A594" s="20"/>
      <c r="B594" s="21"/>
      <c r="C594" s="22"/>
      <c r="D594" s="23"/>
      <c r="E594" s="24"/>
      <c r="F594" s="24"/>
      <c r="G594" s="21"/>
    </row>
    <row r="595" spans="1:7" ht="12" customHeight="1" x14ac:dyDescent="0.2">
      <c r="A595" s="20"/>
      <c r="B595" s="21"/>
      <c r="C595" s="22"/>
      <c r="D595" s="23"/>
      <c r="E595" s="24"/>
      <c r="F595" s="24"/>
      <c r="G595" s="21"/>
    </row>
    <row r="596" spans="1:7" ht="12" customHeight="1" x14ac:dyDescent="0.2">
      <c r="A596" s="20"/>
      <c r="B596" s="21"/>
      <c r="C596" s="22"/>
      <c r="D596" s="23"/>
      <c r="E596" s="24"/>
      <c r="F596" s="24"/>
      <c r="G596" s="21"/>
    </row>
    <row r="597" spans="1:7" ht="12" customHeight="1" x14ac:dyDescent="0.2">
      <c r="A597" s="20"/>
      <c r="B597" s="21"/>
      <c r="C597" s="22"/>
      <c r="D597" s="23"/>
      <c r="E597" s="24"/>
      <c r="F597" s="24"/>
      <c r="G597" s="21"/>
    </row>
    <row r="598" spans="1:7" ht="12" customHeight="1" x14ac:dyDescent="0.2">
      <c r="A598" s="20"/>
      <c r="B598" s="21"/>
      <c r="C598" s="22"/>
      <c r="D598" s="23"/>
      <c r="E598" s="24"/>
      <c r="F598" s="24"/>
      <c r="G598" s="21"/>
    </row>
    <row r="599" spans="1:7" ht="12" customHeight="1" x14ac:dyDescent="0.2">
      <c r="A599" s="20"/>
      <c r="B599" s="21"/>
      <c r="C599" s="22"/>
      <c r="D599" s="23"/>
      <c r="E599" s="24"/>
      <c r="F599" s="24"/>
      <c r="G599" s="21"/>
    </row>
    <row r="600" spans="1:7" ht="12" customHeight="1" x14ac:dyDescent="0.2">
      <c r="A600" s="20"/>
      <c r="B600" s="21"/>
      <c r="C600" s="22"/>
      <c r="D600" s="23"/>
      <c r="E600" s="24"/>
      <c r="F600" s="24"/>
      <c r="G600" s="21"/>
    </row>
    <row r="601" spans="1:7" ht="12" customHeight="1" x14ac:dyDescent="0.2">
      <c r="A601" s="20"/>
      <c r="B601" s="21"/>
      <c r="C601" s="22"/>
      <c r="D601" s="23"/>
      <c r="E601" s="24"/>
      <c r="F601" s="24"/>
      <c r="G601" s="21"/>
    </row>
    <row r="602" spans="1:7" ht="12" customHeight="1" x14ac:dyDescent="0.2">
      <c r="A602" s="20"/>
      <c r="B602" s="21"/>
      <c r="C602" s="22"/>
      <c r="D602" s="23"/>
      <c r="E602" s="24"/>
      <c r="F602" s="24"/>
      <c r="G602" s="21"/>
    </row>
    <row r="603" spans="1:7" ht="12" customHeight="1" x14ac:dyDescent="0.2">
      <c r="A603" s="20"/>
      <c r="B603" s="21"/>
      <c r="C603" s="22"/>
      <c r="D603" s="23"/>
      <c r="E603" s="24"/>
      <c r="F603" s="24"/>
      <c r="G603" s="21"/>
    </row>
    <row r="604" spans="1:7" ht="12" customHeight="1" x14ac:dyDescent="0.2">
      <c r="A604" s="20"/>
      <c r="B604" s="21"/>
      <c r="C604" s="22"/>
      <c r="D604" s="23"/>
      <c r="E604" s="24"/>
      <c r="F604" s="24"/>
      <c r="G604" s="21"/>
    </row>
    <row r="605" spans="1:7" ht="12" customHeight="1" x14ac:dyDescent="0.2">
      <c r="A605" s="20"/>
      <c r="B605" s="21"/>
      <c r="C605" s="22"/>
      <c r="D605" s="23"/>
      <c r="E605" s="24"/>
      <c r="F605" s="24"/>
      <c r="G605" s="21"/>
    </row>
    <row r="606" spans="1:7" ht="12" customHeight="1" x14ac:dyDescent="0.2">
      <c r="A606" s="20"/>
      <c r="B606" s="21"/>
      <c r="C606" s="22"/>
      <c r="D606" s="23"/>
      <c r="E606" s="24"/>
      <c r="F606" s="24"/>
      <c r="G606" s="21"/>
    </row>
    <row r="607" spans="1:7" ht="12" customHeight="1" x14ac:dyDescent="0.2">
      <c r="A607" s="20"/>
      <c r="B607" s="21"/>
      <c r="C607" s="22"/>
      <c r="D607" s="23"/>
      <c r="E607" s="24"/>
      <c r="F607" s="24"/>
      <c r="G607" s="21"/>
    </row>
    <row r="608" spans="1:7" ht="12" customHeight="1" x14ac:dyDescent="0.2">
      <c r="A608" s="20"/>
      <c r="B608" s="21"/>
      <c r="C608" s="22"/>
      <c r="D608" s="23"/>
      <c r="E608" s="24"/>
      <c r="F608" s="24"/>
      <c r="G608" s="21"/>
    </row>
    <row r="609" spans="1:7" ht="12" customHeight="1" x14ac:dyDescent="0.2">
      <c r="A609" s="20"/>
      <c r="B609" s="21"/>
      <c r="C609" s="22"/>
      <c r="D609" s="23"/>
      <c r="E609" s="24"/>
      <c r="F609" s="24"/>
      <c r="G609" s="21"/>
    </row>
    <row r="610" spans="1:7" ht="12" customHeight="1" x14ac:dyDescent="0.2">
      <c r="A610" s="20"/>
      <c r="B610" s="21"/>
      <c r="C610" s="22"/>
      <c r="D610" s="23"/>
      <c r="E610" s="24"/>
      <c r="F610" s="24"/>
      <c r="G610" s="21"/>
    </row>
    <row r="611" spans="1:7" ht="12" customHeight="1" x14ac:dyDescent="0.2">
      <c r="A611" s="20"/>
      <c r="B611" s="21"/>
      <c r="C611" s="22"/>
      <c r="D611" s="23"/>
      <c r="E611" s="24"/>
      <c r="F611" s="24"/>
      <c r="G611" s="21"/>
    </row>
    <row r="612" spans="1:7" ht="12" customHeight="1" x14ac:dyDescent="0.2">
      <c r="A612" s="20"/>
      <c r="B612" s="21"/>
      <c r="C612" s="22"/>
      <c r="D612" s="23"/>
      <c r="E612" s="24"/>
      <c r="F612" s="24"/>
      <c r="G612" s="21"/>
    </row>
    <row r="613" spans="1:7" ht="12" customHeight="1" x14ac:dyDescent="0.2">
      <c r="A613" s="20"/>
      <c r="B613" s="21"/>
      <c r="C613" s="22"/>
      <c r="D613" s="23"/>
      <c r="E613" s="24"/>
      <c r="F613" s="24"/>
      <c r="G613" s="21"/>
    </row>
    <row r="614" spans="1:7" ht="12" customHeight="1" x14ac:dyDescent="0.2">
      <c r="A614" s="20"/>
      <c r="B614" s="21"/>
      <c r="C614" s="22"/>
      <c r="D614" s="23"/>
      <c r="E614" s="24"/>
      <c r="F614" s="24"/>
      <c r="G614" s="21"/>
    </row>
    <row r="615" spans="1:7" ht="12" customHeight="1" x14ac:dyDescent="0.2">
      <c r="A615" s="20"/>
      <c r="B615" s="21"/>
      <c r="C615" s="22"/>
      <c r="D615" s="23"/>
      <c r="E615" s="24"/>
      <c r="F615" s="24"/>
      <c r="G615" s="21"/>
    </row>
    <row r="616" spans="1:7" ht="12" customHeight="1" x14ac:dyDescent="0.2">
      <c r="A616" s="20"/>
      <c r="B616" s="21"/>
      <c r="C616" s="22"/>
      <c r="D616" s="23"/>
      <c r="E616" s="24"/>
      <c r="F616" s="24"/>
      <c r="G616" s="21"/>
    </row>
    <row r="617" spans="1:7" ht="12" customHeight="1" x14ac:dyDescent="0.2">
      <c r="A617" s="20"/>
      <c r="B617" s="21"/>
      <c r="C617" s="22"/>
      <c r="D617" s="23"/>
      <c r="E617" s="24"/>
      <c r="F617" s="24"/>
      <c r="G617" s="21"/>
    </row>
    <row r="618" spans="1:7" ht="12" customHeight="1" x14ac:dyDescent="0.2">
      <c r="A618" s="20"/>
      <c r="B618" s="21"/>
      <c r="C618" s="22"/>
      <c r="D618" s="23"/>
      <c r="E618" s="24"/>
      <c r="F618" s="24"/>
      <c r="G618" s="21"/>
    </row>
    <row r="619" spans="1:7" ht="12" customHeight="1" x14ac:dyDescent="0.2">
      <c r="A619" s="20"/>
      <c r="B619" s="21"/>
      <c r="C619" s="22"/>
      <c r="D619" s="23"/>
      <c r="E619" s="24"/>
      <c r="F619" s="24"/>
      <c r="G619" s="21"/>
    </row>
    <row r="620" spans="1:7" ht="12" customHeight="1" x14ac:dyDescent="0.2">
      <c r="A620" s="20"/>
      <c r="B620" s="21"/>
      <c r="C620" s="22"/>
      <c r="D620" s="23"/>
      <c r="E620" s="24"/>
      <c r="F620" s="24"/>
      <c r="G620" s="21"/>
    </row>
    <row r="621" spans="1:7" ht="12" customHeight="1" x14ac:dyDescent="0.2">
      <c r="A621" s="20"/>
      <c r="B621" s="21"/>
      <c r="C621" s="22"/>
      <c r="D621" s="23"/>
      <c r="E621" s="24"/>
      <c r="F621" s="24"/>
      <c r="G621" s="21"/>
    </row>
    <row r="622" spans="1:7" ht="12" customHeight="1" x14ac:dyDescent="0.2">
      <c r="A622" s="20"/>
      <c r="B622" s="21"/>
      <c r="C622" s="22"/>
      <c r="D622" s="23"/>
      <c r="E622" s="24"/>
      <c r="F622" s="24"/>
      <c r="G622" s="21"/>
    </row>
    <row r="623" spans="1:7" ht="12" customHeight="1" x14ac:dyDescent="0.2">
      <c r="A623" s="20"/>
      <c r="B623" s="21"/>
      <c r="C623" s="22"/>
      <c r="D623" s="23"/>
      <c r="E623" s="24"/>
      <c r="F623" s="24"/>
      <c r="G623" s="21"/>
    </row>
    <row r="624" spans="1:7" ht="12" customHeight="1" x14ac:dyDescent="0.2">
      <c r="A624" s="20"/>
      <c r="B624" s="21"/>
      <c r="C624" s="22"/>
      <c r="D624" s="23"/>
      <c r="E624" s="24"/>
      <c r="F624" s="24"/>
      <c r="G624" s="21"/>
    </row>
    <row r="625" spans="1:7" ht="12" customHeight="1" x14ac:dyDescent="0.2">
      <c r="A625" s="20"/>
      <c r="B625" s="21"/>
      <c r="C625" s="22"/>
      <c r="D625" s="23"/>
      <c r="E625" s="24"/>
      <c r="F625" s="24"/>
      <c r="G625" s="21"/>
    </row>
    <row r="626" spans="1:7" ht="12" customHeight="1" x14ac:dyDescent="0.2">
      <c r="A626" s="20"/>
      <c r="B626" s="21"/>
      <c r="C626" s="22"/>
      <c r="D626" s="23"/>
      <c r="E626" s="24"/>
      <c r="F626" s="24"/>
      <c r="G626" s="21"/>
    </row>
    <row r="627" spans="1:7" ht="12" customHeight="1" x14ac:dyDescent="0.2">
      <c r="A627" s="20"/>
      <c r="B627" s="21"/>
      <c r="C627" s="22"/>
      <c r="D627" s="23"/>
      <c r="E627" s="24"/>
      <c r="F627" s="24"/>
      <c r="G627" s="21"/>
    </row>
    <row r="628" spans="1:7" ht="12" customHeight="1" x14ac:dyDescent="0.2">
      <c r="A628" s="20"/>
      <c r="B628" s="21"/>
      <c r="C628" s="22"/>
      <c r="D628" s="23"/>
      <c r="E628" s="24"/>
      <c r="F628" s="24"/>
      <c r="G628" s="21"/>
    </row>
    <row r="629" spans="1:7" ht="12" customHeight="1" x14ac:dyDescent="0.2">
      <c r="A629" s="20"/>
      <c r="B629" s="21"/>
      <c r="C629" s="22"/>
      <c r="D629" s="23"/>
      <c r="E629" s="24"/>
      <c r="F629" s="24"/>
      <c r="G629" s="21"/>
    </row>
    <row r="630" spans="1:7" ht="12" customHeight="1" x14ac:dyDescent="0.2">
      <c r="A630" s="20"/>
      <c r="B630" s="21"/>
      <c r="C630" s="22"/>
      <c r="D630" s="23"/>
      <c r="E630" s="24"/>
      <c r="F630" s="24"/>
      <c r="G630" s="21"/>
    </row>
    <row r="631" spans="1:7" ht="12" customHeight="1" x14ac:dyDescent="0.2">
      <c r="A631" s="20"/>
      <c r="B631" s="21"/>
      <c r="C631" s="22"/>
      <c r="D631" s="23"/>
      <c r="E631" s="24"/>
      <c r="F631" s="24"/>
      <c r="G631" s="21"/>
    </row>
    <row r="632" spans="1:7" ht="12" customHeight="1" x14ac:dyDescent="0.2">
      <c r="A632" s="20"/>
      <c r="B632" s="21"/>
      <c r="C632" s="22"/>
      <c r="D632" s="23"/>
      <c r="E632" s="24"/>
      <c r="F632" s="24"/>
      <c r="G632" s="21"/>
    </row>
    <row r="633" spans="1:7" ht="12" customHeight="1" x14ac:dyDescent="0.2">
      <c r="A633" s="20"/>
      <c r="B633" s="21"/>
      <c r="C633" s="22"/>
      <c r="D633" s="23"/>
      <c r="E633" s="24"/>
      <c r="F633" s="24"/>
      <c r="G633" s="21"/>
    </row>
    <row r="634" spans="1:7" ht="12" customHeight="1" x14ac:dyDescent="0.2">
      <c r="A634" s="20"/>
      <c r="B634" s="21"/>
      <c r="C634" s="22"/>
      <c r="D634" s="23"/>
      <c r="E634" s="24"/>
      <c r="F634" s="24"/>
      <c r="G634" s="21"/>
    </row>
    <row r="635" spans="1:7" ht="12" customHeight="1" x14ac:dyDescent="0.2">
      <c r="A635" s="20"/>
      <c r="B635" s="21"/>
      <c r="C635" s="22"/>
      <c r="D635" s="23"/>
      <c r="E635" s="24"/>
      <c r="F635" s="24"/>
      <c r="G635" s="21"/>
    </row>
    <row r="636" spans="1:7" ht="12" customHeight="1" x14ac:dyDescent="0.2">
      <c r="A636" s="20"/>
      <c r="B636" s="21"/>
      <c r="C636" s="22"/>
      <c r="D636" s="23"/>
      <c r="E636" s="24"/>
      <c r="F636" s="24"/>
      <c r="G636" s="21"/>
    </row>
    <row r="637" spans="1:7" ht="12" customHeight="1" x14ac:dyDescent="0.2">
      <c r="A637" s="20"/>
      <c r="B637" s="21"/>
      <c r="C637" s="22"/>
      <c r="D637" s="23"/>
      <c r="E637" s="24"/>
      <c r="F637" s="24"/>
      <c r="G637" s="21"/>
    </row>
    <row r="638" spans="1:7" ht="12" customHeight="1" x14ac:dyDescent="0.2">
      <c r="A638" s="20"/>
      <c r="B638" s="21"/>
      <c r="C638" s="22"/>
      <c r="D638" s="23"/>
      <c r="E638" s="24"/>
      <c r="F638" s="24"/>
      <c r="G638" s="21"/>
    </row>
    <row r="639" spans="1:7" ht="12" customHeight="1" x14ac:dyDescent="0.2">
      <c r="A639" s="20"/>
      <c r="B639" s="21"/>
      <c r="C639" s="22"/>
      <c r="D639" s="23"/>
      <c r="E639" s="24"/>
      <c r="F639" s="24"/>
      <c r="G639" s="21"/>
    </row>
    <row r="640" spans="1:7" ht="12" customHeight="1" x14ac:dyDescent="0.2">
      <c r="A640" s="20"/>
      <c r="B640" s="21"/>
      <c r="C640" s="22"/>
      <c r="D640" s="23"/>
      <c r="E640" s="24"/>
      <c r="F640" s="24"/>
      <c r="G640" s="21"/>
    </row>
    <row r="641" spans="1:7" ht="12" customHeight="1" x14ac:dyDescent="0.2">
      <c r="A641" s="20"/>
      <c r="B641" s="21"/>
      <c r="C641" s="22"/>
      <c r="D641" s="23"/>
      <c r="E641" s="24"/>
      <c r="F641" s="24"/>
      <c r="G641" s="21"/>
    </row>
    <row r="642" spans="1:7" ht="12" customHeight="1" x14ac:dyDescent="0.2">
      <c r="A642" s="20"/>
      <c r="B642" s="21"/>
      <c r="C642" s="22"/>
      <c r="D642" s="23"/>
      <c r="E642" s="24"/>
      <c r="F642" s="24"/>
      <c r="G642" s="21"/>
    </row>
    <row r="643" spans="1:7" ht="12" customHeight="1" x14ac:dyDescent="0.2">
      <c r="A643" s="20"/>
      <c r="B643" s="21"/>
      <c r="C643" s="22"/>
      <c r="D643" s="23"/>
      <c r="E643" s="24"/>
      <c r="F643" s="24"/>
      <c r="G643" s="21"/>
    </row>
    <row r="644" spans="1:7" ht="12" customHeight="1" x14ac:dyDescent="0.2">
      <c r="A644" s="20"/>
      <c r="B644" s="21"/>
      <c r="C644" s="22"/>
      <c r="D644" s="23"/>
      <c r="E644" s="24"/>
      <c r="F644" s="24"/>
      <c r="G644" s="21"/>
    </row>
    <row r="645" spans="1:7" ht="12" customHeight="1" x14ac:dyDescent="0.2">
      <c r="A645" s="20"/>
      <c r="B645" s="21"/>
      <c r="C645" s="22"/>
      <c r="D645" s="23"/>
      <c r="E645" s="24"/>
      <c r="F645" s="24"/>
      <c r="G645" s="21"/>
    </row>
    <row r="646" spans="1:7" ht="12" customHeight="1" x14ac:dyDescent="0.2">
      <c r="A646" s="20"/>
      <c r="B646" s="21"/>
      <c r="C646" s="22"/>
      <c r="D646" s="23"/>
      <c r="E646" s="24"/>
      <c r="F646" s="24"/>
      <c r="G646" s="21"/>
    </row>
    <row r="647" spans="1:7" ht="12" customHeight="1" x14ac:dyDescent="0.2">
      <c r="A647" s="20"/>
      <c r="B647" s="21"/>
      <c r="C647" s="22"/>
      <c r="D647" s="23"/>
      <c r="E647" s="24"/>
      <c r="F647" s="24"/>
      <c r="G647" s="21"/>
    </row>
    <row r="648" spans="1:7" ht="12" customHeight="1" x14ac:dyDescent="0.2">
      <c r="A648" s="20"/>
      <c r="B648" s="21"/>
      <c r="C648" s="22"/>
      <c r="D648" s="23"/>
      <c r="E648" s="24"/>
      <c r="F648" s="24"/>
      <c r="G648" s="21"/>
    </row>
    <row r="649" spans="1:7" ht="12" customHeight="1" x14ac:dyDescent="0.2">
      <c r="A649" s="20"/>
      <c r="B649" s="21"/>
      <c r="C649" s="22"/>
      <c r="D649" s="23"/>
      <c r="E649" s="24"/>
      <c r="F649" s="24"/>
      <c r="G649" s="21"/>
    </row>
    <row r="650" spans="1:7" ht="12" customHeight="1" x14ac:dyDescent="0.2">
      <c r="A650" s="20"/>
      <c r="B650" s="21"/>
      <c r="C650" s="22"/>
      <c r="D650" s="23"/>
      <c r="E650" s="24"/>
      <c r="F650" s="24"/>
      <c r="G650" s="21"/>
    </row>
    <row r="651" spans="1:7" ht="12" customHeight="1" x14ac:dyDescent="0.2">
      <c r="A651" s="20"/>
      <c r="B651" s="21"/>
      <c r="C651" s="22"/>
      <c r="D651" s="23"/>
      <c r="E651" s="24"/>
      <c r="F651" s="24"/>
      <c r="G651" s="21"/>
    </row>
    <row r="652" spans="1:7" ht="12" customHeight="1" x14ac:dyDescent="0.2">
      <c r="A652" s="20"/>
      <c r="B652" s="21"/>
      <c r="C652" s="22"/>
      <c r="D652" s="23"/>
      <c r="E652" s="24"/>
      <c r="F652" s="24"/>
      <c r="G652" s="21"/>
    </row>
    <row r="653" spans="1:7" ht="12" customHeight="1" x14ac:dyDescent="0.2">
      <c r="A653" s="20"/>
      <c r="B653" s="21"/>
      <c r="C653" s="22"/>
      <c r="D653" s="23"/>
      <c r="E653" s="24"/>
      <c r="F653" s="24"/>
      <c r="G653" s="21"/>
    </row>
    <row r="654" spans="1:7" ht="12" customHeight="1" x14ac:dyDescent="0.2">
      <c r="A654" s="20"/>
      <c r="B654" s="21"/>
      <c r="C654" s="22"/>
      <c r="D654" s="23"/>
      <c r="E654" s="24"/>
      <c r="F654" s="24"/>
      <c r="G654" s="21"/>
    </row>
    <row r="655" spans="1:7" ht="12" customHeight="1" x14ac:dyDescent="0.2">
      <c r="A655" s="20"/>
      <c r="B655" s="21"/>
      <c r="C655" s="22"/>
      <c r="D655" s="23"/>
      <c r="E655" s="24"/>
      <c r="F655" s="24"/>
      <c r="G655" s="21"/>
    </row>
    <row r="656" spans="1:7" ht="12" customHeight="1" x14ac:dyDescent="0.2">
      <c r="A656" s="20"/>
      <c r="B656" s="21"/>
      <c r="C656" s="22"/>
      <c r="D656" s="23"/>
      <c r="E656" s="24"/>
      <c r="F656" s="24"/>
      <c r="G656" s="21"/>
    </row>
    <row r="657" spans="1:7" ht="12" customHeight="1" x14ac:dyDescent="0.2">
      <c r="A657" s="20"/>
      <c r="B657" s="21"/>
      <c r="C657" s="22"/>
      <c r="D657" s="23"/>
      <c r="E657" s="24"/>
      <c r="F657" s="24"/>
      <c r="G657" s="21"/>
    </row>
    <row r="658" spans="1:7" ht="12" customHeight="1" x14ac:dyDescent="0.2">
      <c r="A658" s="20"/>
      <c r="B658" s="21"/>
      <c r="C658" s="22"/>
      <c r="D658" s="23"/>
      <c r="E658" s="24"/>
      <c r="F658" s="24"/>
      <c r="G658" s="21"/>
    </row>
    <row r="659" spans="1:7" ht="12" customHeight="1" x14ac:dyDescent="0.2">
      <c r="A659" s="20"/>
      <c r="B659" s="21"/>
      <c r="C659" s="22"/>
      <c r="D659" s="23"/>
      <c r="E659" s="24"/>
      <c r="F659" s="24"/>
      <c r="G659" s="21"/>
    </row>
    <row r="660" spans="1:7" ht="12" customHeight="1" x14ac:dyDescent="0.2">
      <c r="A660" s="20"/>
      <c r="B660" s="21"/>
      <c r="C660" s="22"/>
      <c r="D660" s="23"/>
      <c r="E660" s="24"/>
      <c r="F660" s="24"/>
      <c r="G660" s="21"/>
    </row>
    <row r="661" spans="1:7" ht="12" customHeight="1" x14ac:dyDescent="0.2">
      <c r="A661" s="20"/>
      <c r="B661" s="21"/>
      <c r="C661" s="22"/>
      <c r="D661" s="23"/>
      <c r="E661" s="24"/>
      <c r="F661" s="24"/>
      <c r="G661" s="21"/>
    </row>
    <row r="662" spans="1:7" ht="12" customHeight="1" x14ac:dyDescent="0.2">
      <c r="A662" s="20"/>
      <c r="B662" s="21"/>
      <c r="C662" s="22"/>
      <c r="D662" s="23"/>
      <c r="E662" s="24"/>
      <c r="F662" s="24"/>
      <c r="G662" s="21"/>
    </row>
    <row r="663" spans="1:7" ht="12" customHeight="1" x14ac:dyDescent="0.2">
      <c r="A663" s="20"/>
      <c r="B663" s="21"/>
      <c r="C663" s="22"/>
      <c r="D663" s="23"/>
      <c r="E663" s="24"/>
      <c r="F663" s="24"/>
      <c r="G663" s="21"/>
    </row>
    <row r="664" spans="1:7" ht="12" customHeight="1" x14ac:dyDescent="0.2">
      <c r="A664" s="20"/>
      <c r="B664" s="21"/>
      <c r="C664" s="22"/>
      <c r="D664" s="23"/>
      <c r="E664" s="24"/>
      <c r="F664" s="24"/>
      <c r="G664" s="21"/>
    </row>
    <row r="665" spans="1:7" ht="12" customHeight="1" x14ac:dyDescent="0.2">
      <c r="A665" s="20"/>
      <c r="B665" s="21"/>
      <c r="C665" s="22"/>
      <c r="D665" s="23"/>
      <c r="E665" s="24"/>
      <c r="F665" s="24"/>
      <c r="G665" s="21"/>
    </row>
    <row r="666" spans="1:7" ht="12" customHeight="1" x14ac:dyDescent="0.2">
      <c r="A666" s="20"/>
      <c r="B666" s="21"/>
      <c r="C666" s="22"/>
      <c r="D666" s="23"/>
      <c r="E666" s="24"/>
      <c r="F666" s="24"/>
      <c r="G666" s="21"/>
    </row>
    <row r="667" spans="1:7" ht="12" customHeight="1" x14ac:dyDescent="0.2">
      <c r="A667" s="20"/>
      <c r="B667" s="21"/>
      <c r="C667" s="22"/>
      <c r="D667" s="23"/>
      <c r="E667" s="24"/>
      <c r="F667" s="24"/>
      <c r="G667" s="21"/>
    </row>
    <row r="668" spans="1:7" ht="12" customHeight="1" x14ac:dyDescent="0.2">
      <c r="A668" s="20"/>
      <c r="B668" s="21"/>
      <c r="C668" s="22"/>
      <c r="D668" s="23"/>
      <c r="E668" s="24"/>
      <c r="F668" s="24"/>
      <c r="G668" s="21"/>
    </row>
    <row r="669" spans="1:7" ht="12" customHeight="1" x14ac:dyDescent="0.2">
      <c r="A669" s="20"/>
      <c r="B669" s="21"/>
      <c r="C669" s="22"/>
      <c r="D669" s="23"/>
      <c r="E669" s="24"/>
      <c r="F669" s="24"/>
      <c r="G669" s="21"/>
    </row>
    <row r="670" spans="1:7" ht="12" customHeight="1" x14ac:dyDescent="0.2">
      <c r="A670" s="20"/>
      <c r="B670" s="21"/>
      <c r="C670" s="22"/>
      <c r="D670" s="23"/>
      <c r="E670" s="24"/>
      <c r="F670" s="24"/>
      <c r="G670" s="21"/>
    </row>
    <row r="671" spans="1:7" ht="12" customHeight="1" x14ac:dyDescent="0.2">
      <c r="A671" s="20"/>
      <c r="B671" s="21"/>
      <c r="C671" s="22"/>
      <c r="D671" s="23"/>
      <c r="E671" s="24"/>
      <c r="F671" s="24"/>
      <c r="G671" s="21"/>
    </row>
    <row r="672" spans="1:7" ht="12" customHeight="1" x14ac:dyDescent="0.2">
      <c r="A672" s="20"/>
      <c r="B672" s="21"/>
      <c r="C672" s="22"/>
      <c r="D672" s="23"/>
      <c r="E672" s="24"/>
      <c r="F672" s="24"/>
      <c r="G672" s="21"/>
    </row>
    <row r="673" spans="1:7" ht="12" customHeight="1" x14ac:dyDescent="0.2">
      <c r="A673" s="20"/>
      <c r="B673" s="21"/>
      <c r="C673" s="22"/>
      <c r="D673" s="23"/>
      <c r="E673" s="24"/>
      <c r="F673" s="24"/>
      <c r="G673" s="21"/>
    </row>
    <row r="674" spans="1:7" ht="12" customHeight="1" x14ac:dyDescent="0.2">
      <c r="A674" s="20"/>
      <c r="B674" s="21"/>
      <c r="C674" s="22"/>
      <c r="D674" s="23"/>
      <c r="E674" s="24"/>
      <c r="F674" s="24"/>
      <c r="G674" s="21"/>
    </row>
    <row r="675" spans="1:7" ht="12" customHeight="1" x14ac:dyDescent="0.2">
      <c r="A675" s="20"/>
      <c r="B675" s="21"/>
      <c r="C675" s="22"/>
      <c r="D675" s="23"/>
      <c r="E675" s="24"/>
      <c r="F675" s="24"/>
      <c r="G675" s="21"/>
    </row>
    <row r="676" spans="1:7" ht="12" customHeight="1" x14ac:dyDescent="0.2">
      <c r="A676" s="20"/>
      <c r="B676" s="21"/>
      <c r="C676" s="22"/>
      <c r="D676" s="23"/>
      <c r="E676" s="24"/>
      <c r="F676" s="24"/>
      <c r="G676" s="21"/>
    </row>
    <row r="677" spans="1:7" ht="12" customHeight="1" x14ac:dyDescent="0.2">
      <c r="A677" s="20"/>
      <c r="B677" s="21"/>
      <c r="C677" s="22"/>
      <c r="D677" s="23"/>
      <c r="E677" s="24"/>
      <c r="F677" s="24"/>
      <c r="G677" s="21"/>
    </row>
    <row r="678" spans="1:7" ht="12" customHeight="1" x14ac:dyDescent="0.2">
      <c r="A678" s="20"/>
      <c r="B678" s="21"/>
      <c r="C678" s="22"/>
      <c r="D678" s="23"/>
      <c r="E678" s="24"/>
      <c r="F678" s="24"/>
      <c r="G678" s="21"/>
    </row>
    <row r="679" spans="1:7" ht="12" customHeight="1" x14ac:dyDescent="0.2">
      <c r="A679" s="20"/>
      <c r="B679" s="21"/>
      <c r="C679" s="22"/>
      <c r="D679" s="23"/>
      <c r="E679" s="24"/>
      <c r="F679" s="24"/>
      <c r="G679" s="21"/>
    </row>
    <row r="680" spans="1:7" ht="12" customHeight="1" x14ac:dyDescent="0.2">
      <c r="A680" s="20"/>
      <c r="B680" s="21"/>
      <c r="C680" s="22"/>
      <c r="D680" s="23"/>
      <c r="E680" s="24"/>
      <c r="F680" s="24"/>
      <c r="G680" s="21"/>
    </row>
    <row r="681" spans="1:7" ht="12" customHeight="1" x14ac:dyDescent="0.2">
      <c r="A681" s="20"/>
      <c r="B681" s="21"/>
      <c r="C681" s="22"/>
      <c r="D681" s="23"/>
      <c r="E681" s="24"/>
      <c r="F681" s="24"/>
      <c r="G681" s="21"/>
    </row>
    <row r="682" spans="1:7" ht="12" customHeight="1" x14ac:dyDescent="0.2">
      <c r="A682" s="20"/>
      <c r="B682" s="21"/>
      <c r="C682" s="22"/>
      <c r="D682" s="23"/>
      <c r="E682" s="24"/>
      <c r="F682" s="24"/>
      <c r="G682" s="21"/>
    </row>
    <row r="683" spans="1:7" ht="12" customHeight="1" x14ac:dyDescent="0.2">
      <c r="A683" s="20"/>
      <c r="B683" s="21"/>
      <c r="C683" s="22"/>
      <c r="D683" s="23"/>
      <c r="E683" s="24"/>
      <c r="F683" s="24"/>
      <c r="G683" s="21"/>
    </row>
    <row r="684" spans="1:7" ht="12" customHeight="1" x14ac:dyDescent="0.2">
      <c r="A684" s="20"/>
      <c r="B684" s="21"/>
      <c r="C684" s="22"/>
      <c r="D684" s="23"/>
      <c r="E684" s="24"/>
      <c r="F684" s="24"/>
      <c r="G684" s="21"/>
    </row>
    <row r="685" spans="1:7" ht="12" customHeight="1" x14ac:dyDescent="0.2">
      <c r="A685" s="20"/>
      <c r="B685" s="21"/>
      <c r="C685" s="22"/>
      <c r="D685" s="23"/>
      <c r="E685" s="24"/>
      <c r="F685" s="24"/>
      <c r="G685" s="21"/>
    </row>
    <row r="686" spans="1:7" ht="12" customHeight="1" x14ac:dyDescent="0.2">
      <c r="A686" s="20"/>
      <c r="B686" s="21"/>
      <c r="C686" s="22"/>
      <c r="D686" s="23"/>
      <c r="E686" s="24"/>
      <c r="F686" s="24"/>
      <c r="G686" s="21"/>
    </row>
    <row r="687" spans="1:7" ht="12" customHeight="1" x14ac:dyDescent="0.2">
      <c r="A687" s="20"/>
      <c r="B687" s="21"/>
      <c r="C687" s="22"/>
      <c r="D687" s="23"/>
      <c r="E687" s="24"/>
      <c r="F687" s="24"/>
      <c r="G687" s="21"/>
    </row>
    <row r="688" spans="1:7" ht="12" customHeight="1" x14ac:dyDescent="0.2">
      <c r="A688" s="20"/>
      <c r="B688" s="21"/>
      <c r="C688" s="22"/>
      <c r="D688" s="23"/>
      <c r="E688" s="24"/>
      <c r="F688" s="24"/>
      <c r="G688" s="21"/>
    </row>
    <row r="689" spans="1:7" ht="12" customHeight="1" x14ac:dyDescent="0.2">
      <c r="A689" s="20"/>
      <c r="B689" s="21"/>
      <c r="C689" s="22"/>
      <c r="D689" s="23"/>
      <c r="E689" s="24"/>
      <c r="F689" s="24"/>
      <c r="G689" s="21"/>
    </row>
    <row r="690" spans="1:7" ht="12" customHeight="1" x14ac:dyDescent="0.2">
      <c r="A690" s="20"/>
      <c r="B690" s="21"/>
      <c r="C690" s="22"/>
      <c r="D690" s="23"/>
      <c r="E690" s="24"/>
      <c r="F690" s="24"/>
      <c r="G690" s="21"/>
    </row>
    <row r="691" spans="1:7" ht="12" customHeight="1" x14ac:dyDescent="0.2">
      <c r="A691" s="20"/>
      <c r="B691" s="21"/>
      <c r="C691" s="22"/>
      <c r="D691" s="23"/>
      <c r="E691" s="24"/>
      <c r="F691" s="24"/>
      <c r="G691" s="21"/>
    </row>
    <row r="692" spans="1:7" ht="12" customHeight="1" x14ac:dyDescent="0.2">
      <c r="A692" s="20"/>
      <c r="B692" s="21"/>
      <c r="C692" s="22"/>
      <c r="D692" s="23"/>
      <c r="E692" s="24"/>
      <c r="F692" s="24"/>
      <c r="G692" s="21"/>
    </row>
    <row r="693" spans="1:7" ht="12" customHeight="1" x14ac:dyDescent="0.2">
      <c r="A693" s="20"/>
      <c r="B693" s="21"/>
      <c r="C693" s="22"/>
      <c r="D693" s="23"/>
      <c r="E693" s="24"/>
      <c r="F693" s="24"/>
      <c r="G693" s="21"/>
    </row>
    <row r="694" spans="1:7" ht="12" customHeight="1" x14ac:dyDescent="0.2">
      <c r="A694" s="20"/>
      <c r="B694" s="21"/>
      <c r="C694" s="22"/>
      <c r="D694" s="23"/>
      <c r="E694" s="24"/>
      <c r="F694" s="24"/>
      <c r="G694" s="21"/>
    </row>
    <row r="695" spans="1:7" ht="12" customHeight="1" x14ac:dyDescent="0.2">
      <c r="A695" s="20"/>
      <c r="B695" s="21"/>
      <c r="C695" s="22"/>
      <c r="D695" s="23"/>
      <c r="E695" s="24"/>
      <c r="F695" s="24"/>
      <c r="G695" s="21"/>
    </row>
    <row r="696" spans="1:7" ht="12" customHeight="1" x14ac:dyDescent="0.2">
      <c r="A696" s="20"/>
      <c r="B696" s="21"/>
      <c r="C696" s="22"/>
      <c r="D696" s="23"/>
      <c r="E696" s="24"/>
      <c r="F696" s="24"/>
      <c r="G696" s="21"/>
    </row>
    <row r="697" spans="1:7" ht="12" customHeight="1" x14ac:dyDescent="0.2">
      <c r="A697" s="20"/>
      <c r="B697" s="21"/>
      <c r="C697" s="22"/>
      <c r="D697" s="23"/>
      <c r="E697" s="24"/>
      <c r="F697" s="24"/>
      <c r="G697" s="21"/>
    </row>
    <row r="698" spans="1:7" ht="12" customHeight="1" x14ac:dyDescent="0.2">
      <c r="A698" s="20"/>
      <c r="B698" s="21"/>
      <c r="C698" s="22"/>
      <c r="D698" s="23"/>
      <c r="E698" s="24"/>
      <c r="F698" s="24"/>
      <c r="G698" s="21"/>
    </row>
    <row r="699" spans="1:7" ht="12" customHeight="1" x14ac:dyDescent="0.2">
      <c r="A699" s="20"/>
      <c r="B699" s="21"/>
      <c r="C699" s="22"/>
      <c r="D699" s="23"/>
      <c r="E699" s="24"/>
      <c r="F699" s="24"/>
      <c r="G699" s="21"/>
    </row>
    <row r="700" spans="1:7" ht="12" customHeight="1" x14ac:dyDescent="0.2">
      <c r="A700" s="20"/>
      <c r="B700" s="21"/>
      <c r="C700" s="22"/>
      <c r="D700" s="23"/>
      <c r="E700" s="24"/>
      <c r="F700" s="24"/>
      <c r="G700" s="21"/>
    </row>
    <row r="701" spans="1:7" ht="12" customHeight="1" x14ac:dyDescent="0.2">
      <c r="A701" s="20"/>
      <c r="B701" s="21"/>
      <c r="C701" s="22"/>
      <c r="D701" s="23"/>
      <c r="E701" s="24"/>
      <c r="F701" s="24"/>
      <c r="G701" s="21"/>
    </row>
    <row r="702" spans="1:7" ht="12" customHeight="1" x14ac:dyDescent="0.2">
      <c r="A702" s="20"/>
      <c r="B702" s="21"/>
      <c r="C702" s="22"/>
      <c r="D702" s="23"/>
      <c r="E702" s="24"/>
      <c r="F702" s="24"/>
      <c r="G702" s="21"/>
    </row>
    <row r="703" spans="1:7" ht="12" customHeight="1" x14ac:dyDescent="0.2">
      <c r="A703" s="20"/>
      <c r="B703" s="21"/>
      <c r="C703" s="22"/>
      <c r="D703" s="23"/>
      <c r="E703" s="24"/>
      <c r="F703" s="24"/>
      <c r="G703" s="21"/>
    </row>
    <row r="704" spans="1:7" ht="12" customHeight="1" x14ac:dyDescent="0.2">
      <c r="A704" s="20"/>
      <c r="B704" s="21"/>
      <c r="C704" s="22"/>
      <c r="D704" s="23"/>
      <c r="E704" s="24"/>
      <c r="F704" s="24"/>
      <c r="G704" s="21"/>
    </row>
    <row r="705" spans="1:7" ht="12" customHeight="1" x14ac:dyDescent="0.2">
      <c r="A705" s="20"/>
      <c r="B705" s="21"/>
      <c r="C705" s="22"/>
      <c r="D705" s="23"/>
      <c r="E705" s="24"/>
      <c r="F705" s="24"/>
      <c r="G705" s="21"/>
    </row>
    <row r="706" spans="1:7" ht="12" customHeight="1" x14ac:dyDescent="0.2">
      <c r="A706" s="20"/>
      <c r="B706" s="21"/>
      <c r="C706" s="22"/>
      <c r="D706" s="23"/>
      <c r="E706" s="24"/>
      <c r="F706" s="24"/>
      <c r="G706" s="21"/>
    </row>
    <row r="707" spans="1:7" ht="12" customHeight="1" x14ac:dyDescent="0.2">
      <c r="A707" s="20"/>
      <c r="B707" s="21"/>
      <c r="C707" s="22"/>
      <c r="D707" s="23"/>
      <c r="E707" s="24"/>
      <c r="F707" s="24"/>
      <c r="G707" s="21"/>
    </row>
    <row r="708" spans="1:7" ht="12" customHeight="1" x14ac:dyDescent="0.2">
      <c r="A708" s="20"/>
      <c r="B708" s="21"/>
      <c r="C708" s="22"/>
      <c r="D708" s="23"/>
      <c r="E708" s="24"/>
      <c r="F708" s="24"/>
      <c r="G708" s="21"/>
    </row>
    <row r="709" spans="1:7" ht="12" customHeight="1" x14ac:dyDescent="0.2">
      <c r="A709" s="20"/>
      <c r="B709" s="21"/>
      <c r="C709" s="22"/>
      <c r="D709" s="23"/>
      <c r="E709" s="24"/>
      <c r="F709" s="24"/>
      <c r="G709" s="21"/>
    </row>
    <row r="710" spans="1:7" ht="12" customHeight="1" x14ac:dyDescent="0.2">
      <c r="A710" s="20"/>
      <c r="B710" s="21"/>
      <c r="C710" s="22"/>
      <c r="D710" s="23"/>
      <c r="E710" s="24"/>
      <c r="F710" s="24"/>
      <c r="G710" s="21"/>
    </row>
    <row r="711" spans="1:7" ht="12" customHeight="1" x14ac:dyDescent="0.2">
      <c r="A711" s="20"/>
      <c r="B711" s="21"/>
      <c r="C711" s="22"/>
      <c r="D711" s="23"/>
      <c r="E711" s="24"/>
      <c r="F711" s="24"/>
      <c r="G711" s="21"/>
    </row>
    <row r="712" spans="1:7" ht="12" customHeight="1" x14ac:dyDescent="0.2">
      <c r="A712" s="20"/>
      <c r="B712" s="21"/>
      <c r="C712" s="22"/>
      <c r="D712" s="23"/>
      <c r="E712" s="24"/>
      <c r="F712" s="24"/>
      <c r="G712" s="21"/>
    </row>
    <row r="713" spans="1:7" ht="12" customHeight="1" x14ac:dyDescent="0.2">
      <c r="A713" s="20"/>
      <c r="B713" s="21"/>
      <c r="C713" s="22"/>
      <c r="D713" s="23"/>
      <c r="E713" s="24"/>
      <c r="F713" s="24"/>
      <c r="G713" s="21"/>
    </row>
    <row r="714" spans="1:7" ht="12" customHeight="1" x14ac:dyDescent="0.2">
      <c r="A714" s="20"/>
      <c r="B714" s="21"/>
      <c r="C714" s="22"/>
      <c r="D714" s="23"/>
      <c r="E714" s="24"/>
      <c r="F714" s="24"/>
      <c r="G714" s="21"/>
    </row>
    <row r="715" spans="1:7" ht="12" customHeight="1" x14ac:dyDescent="0.2">
      <c r="A715" s="20"/>
      <c r="B715" s="21"/>
      <c r="C715" s="22"/>
      <c r="D715" s="23"/>
      <c r="E715" s="24"/>
      <c r="F715" s="24"/>
      <c r="G715" s="21"/>
    </row>
    <row r="716" spans="1:7" ht="12" customHeight="1" x14ac:dyDescent="0.2">
      <c r="A716" s="20"/>
      <c r="B716" s="21"/>
      <c r="C716" s="22"/>
      <c r="D716" s="23"/>
      <c r="E716" s="24"/>
      <c r="F716" s="24"/>
      <c r="G716" s="21"/>
    </row>
    <row r="717" spans="1:7" ht="12" customHeight="1" x14ac:dyDescent="0.2">
      <c r="A717" s="20"/>
      <c r="B717" s="21"/>
      <c r="C717" s="22"/>
      <c r="D717" s="23"/>
      <c r="E717" s="24"/>
      <c r="F717" s="24"/>
      <c r="G717" s="21"/>
    </row>
    <row r="718" spans="1:7" ht="12" customHeight="1" x14ac:dyDescent="0.2">
      <c r="A718" s="20"/>
      <c r="B718" s="21"/>
      <c r="C718" s="22"/>
      <c r="D718" s="23"/>
      <c r="E718" s="24"/>
      <c r="F718" s="24"/>
      <c r="G718" s="21"/>
    </row>
    <row r="719" spans="1:7" ht="12" customHeight="1" x14ac:dyDescent="0.2">
      <c r="A719" s="20"/>
      <c r="B719" s="21"/>
      <c r="C719" s="22"/>
      <c r="D719" s="23"/>
      <c r="E719" s="24"/>
      <c r="F719" s="24"/>
      <c r="G719" s="21"/>
    </row>
    <row r="720" spans="1:7" ht="12" customHeight="1" x14ac:dyDescent="0.2">
      <c r="A720" s="20"/>
      <c r="B720" s="21"/>
      <c r="C720" s="22"/>
      <c r="D720" s="23"/>
      <c r="E720" s="24"/>
      <c r="F720" s="24"/>
      <c r="G720" s="21"/>
    </row>
    <row r="721" spans="1:7" ht="12" customHeight="1" x14ac:dyDescent="0.2">
      <c r="A721" s="20"/>
      <c r="B721" s="21"/>
      <c r="C721" s="22"/>
      <c r="D721" s="23"/>
      <c r="E721" s="24"/>
      <c r="F721" s="24"/>
      <c r="G721" s="21"/>
    </row>
    <row r="722" spans="1:7" ht="12" customHeight="1" x14ac:dyDescent="0.2">
      <c r="A722" s="20"/>
      <c r="B722" s="21"/>
      <c r="C722" s="22"/>
      <c r="D722" s="23"/>
      <c r="E722" s="24"/>
      <c r="F722" s="24"/>
      <c r="G722" s="21"/>
    </row>
    <row r="723" spans="1:7" ht="12" customHeight="1" x14ac:dyDescent="0.2">
      <c r="A723" s="20"/>
      <c r="B723" s="21"/>
      <c r="C723" s="22"/>
      <c r="D723" s="23"/>
      <c r="E723" s="24"/>
      <c r="F723" s="24"/>
      <c r="G723" s="21"/>
    </row>
    <row r="724" spans="1:7" ht="12" customHeight="1" x14ac:dyDescent="0.2">
      <c r="A724" s="20"/>
      <c r="B724" s="21"/>
      <c r="C724" s="22"/>
      <c r="D724" s="23"/>
      <c r="E724" s="24"/>
      <c r="F724" s="24"/>
      <c r="G724" s="21"/>
    </row>
    <row r="725" spans="1:7" ht="12" customHeight="1" x14ac:dyDescent="0.2">
      <c r="A725" s="20"/>
      <c r="B725" s="21"/>
      <c r="C725" s="22"/>
      <c r="D725" s="23"/>
      <c r="E725" s="24"/>
      <c r="F725" s="24"/>
      <c r="G725" s="21"/>
    </row>
    <row r="726" spans="1:7" ht="12" customHeight="1" x14ac:dyDescent="0.2">
      <c r="A726" s="20"/>
      <c r="B726" s="21"/>
      <c r="C726" s="22"/>
      <c r="D726" s="23"/>
      <c r="E726" s="24"/>
      <c r="F726" s="24"/>
      <c r="G726" s="21"/>
    </row>
    <row r="727" spans="1:7" ht="12" customHeight="1" x14ac:dyDescent="0.2">
      <c r="A727" s="20"/>
      <c r="B727" s="21"/>
      <c r="C727" s="22"/>
      <c r="D727" s="23"/>
      <c r="E727" s="24"/>
      <c r="F727" s="24"/>
      <c r="G727" s="21"/>
    </row>
    <row r="728" spans="1:7" ht="12" customHeight="1" x14ac:dyDescent="0.2">
      <c r="A728" s="20"/>
      <c r="B728" s="21"/>
      <c r="C728" s="22"/>
      <c r="D728" s="23"/>
      <c r="E728" s="24"/>
      <c r="F728" s="24"/>
      <c r="G728" s="21"/>
    </row>
    <row r="729" spans="1:7" ht="12" customHeight="1" x14ac:dyDescent="0.2">
      <c r="A729" s="20"/>
      <c r="B729" s="21"/>
      <c r="C729" s="22"/>
      <c r="D729" s="23"/>
      <c r="E729" s="24"/>
      <c r="F729" s="24"/>
      <c r="G729" s="21"/>
    </row>
    <row r="730" spans="1:7" ht="12" customHeight="1" x14ac:dyDescent="0.2">
      <c r="A730" s="20"/>
      <c r="B730" s="21"/>
      <c r="C730" s="22"/>
      <c r="D730" s="23"/>
      <c r="E730" s="24"/>
      <c r="F730" s="24"/>
      <c r="G730" s="21"/>
    </row>
    <row r="731" spans="1:7" ht="12" customHeight="1" x14ac:dyDescent="0.2">
      <c r="A731" s="20"/>
      <c r="B731" s="21"/>
      <c r="C731" s="22"/>
      <c r="D731" s="23"/>
      <c r="E731" s="24"/>
      <c r="F731" s="24"/>
      <c r="G731" s="21"/>
    </row>
    <row r="732" spans="1:7" ht="12" customHeight="1" x14ac:dyDescent="0.2">
      <c r="A732" s="20"/>
      <c r="B732" s="21"/>
      <c r="C732" s="22"/>
      <c r="D732" s="23"/>
      <c r="E732" s="24"/>
      <c r="F732" s="24"/>
      <c r="G732" s="21"/>
    </row>
    <row r="733" spans="1:7" ht="12" customHeight="1" x14ac:dyDescent="0.2">
      <c r="A733" s="20"/>
      <c r="B733" s="21"/>
      <c r="C733" s="22"/>
      <c r="D733" s="23"/>
      <c r="E733" s="24"/>
      <c r="F733" s="24"/>
      <c r="G733" s="21"/>
    </row>
    <row r="734" spans="1:7" ht="12" customHeight="1" x14ac:dyDescent="0.2">
      <c r="A734" s="20"/>
      <c r="B734" s="21"/>
      <c r="C734" s="22"/>
      <c r="D734" s="23"/>
      <c r="E734" s="24"/>
      <c r="F734" s="24"/>
      <c r="G734" s="21"/>
    </row>
    <row r="735" spans="1:7" ht="12" customHeight="1" x14ac:dyDescent="0.2">
      <c r="A735" s="20"/>
      <c r="B735" s="21"/>
      <c r="C735" s="22"/>
      <c r="D735" s="23"/>
      <c r="E735" s="24"/>
      <c r="F735" s="24"/>
      <c r="G735" s="21"/>
    </row>
    <row r="736" spans="1:7" ht="12" customHeight="1" x14ac:dyDescent="0.2">
      <c r="A736" s="20"/>
      <c r="B736" s="21"/>
      <c r="C736" s="22"/>
      <c r="D736" s="23"/>
      <c r="E736" s="24"/>
      <c r="F736" s="24"/>
      <c r="G736" s="21"/>
    </row>
    <row r="737" spans="1:7" ht="12" customHeight="1" x14ac:dyDescent="0.2">
      <c r="A737" s="20"/>
      <c r="B737" s="21"/>
      <c r="C737" s="22"/>
      <c r="D737" s="23"/>
      <c r="E737" s="24"/>
      <c r="F737" s="24"/>
      <c r="G737" s="21"/>
    </row>
    <row r="738" spans="1:7" ht="12" customHeight="1" x14ac:dyDescent="0.2">
      <c r="A738" s="20"/>
      <c r="B738" s="21"/>
      <c r="C738" s="22"/>
      <c r="D738" s="23"/>
      <c r="E738" s="24"/>
      <c r="F738" s="24"/>
      <c r="G738" s="21"/>
    </row>
    <row r="739" spans="1:7" ht="12" customHeight="1" x14ac:dyDescent="0.2">
      <c r="A739" s="20"/>
      <c r="B739" s="21"/>
      <c r="C739" s="22"/>
      <c r="D739" s="23"/>
      <c r="E739" s="24"/>
      <c r="F739" s="24"/>
      <c r="G739" s="21"/>
    </row>
    <row r="740" spans="1:7" ht="12" customHeight="1" x14ac:dyDescent="0.2">
      <c r="A740" s="20"/>
      <c r="B740" s="21"/>
      <c r="C740" s="22"/>
      <c r="D740" s="23"/>
      <c r="E740" s="24"/>
      <c r="F740" s="24"/>
      <c r="G740" s="21"/>
    </row>
    <row r="741" spans="1:7" ht="12" customHeight="1" x14ac:dyDescent="0.2">
      <c r="A741" s="20"/>
      <c r="B741" s="21"/>
      <c r="C741" s="22"/>
      <c r="D741" s="23"/>
      <c r="E741" s="24"/>
      <c r="F741" s="24"/>
      <c r="G741" s="21"/>
    </row>
    <row r="742" spans="1:7" ht="12" customHeight="1" x14ac:dyDescent="0.2">
      <c r="A742" s="20"/>
      <c r="B742" s="21"/>
      <c r="C742" s="22"/>
      <c r="D742" s="23"/>
      <c r="E742" s="24"/>
      <c r="F742" s="24"/>
      <c r="G742" s="21"/>
    </row>
    <row r="743" spans="1:7" ht="12" customHeight="1" x14ac:dyDescent="0.2">
      <c r="A743" s="20"/>
      <c r="B743" s="21"/>
      <c r="C743" s="22"/>
      <c r="D743" s="23"/>
      <c r="E743" s="24"/>
      <c r="F743" s="24"/>
      <c r="G743" s="21"/>
    </row>
    <row r="744" spans="1:7" ht="12" customHeight="1" x14ac:dyDescent="0.2">
      <c r="A744" s="20"/>
      <c r="B744" s="21"/>
      <c r="C744" s="22"/>
      <c r="D744" s="23"/>
      <c r="E744" s="24"/>
      <c r="F744" s="24"/>
      <c r="G744" s="21"/>
    </row>
    <row r="745" spans="1:7" ht="12" customHeight="1" x14ac:dyDescent="0.2">
      <c r="A745" s="20"/>
      <c r="B745" s="21"/>
      <c r="C745" s="22"/>
      <c r="D745" s="23"/>
      <c r="E745" s="24"/>
      <c r="F745" s="24"/>
      <c r="G745" s="21"/>
    </row>
    <row r="746" spans="1:7" ht="12" customHeight="1" x14ac:dyDescent="0.2">
      <c r="A746" s="20"/>
      <c r="B746" s="21"/>
      <c r="C746" s="22"/>
      <c r="D746" s="23"/>
      <c r="E746" s="24"/>
      <c r="F746" s="24"/>
      <c r="G746" s="21"/>
    </row>
    <row r="747" spans="1:7" ht="12" customHeight="1" x14ac:dyDescent="0.2">
      <c r="A747" s="20"/>
      <c r="B747" s="21"/>
      <c r="C747" s="22"/>
      <c r="D747" s="23"/>
      <c r="E747" s="24"/>
      <c r="F747" s="24"/>
      <c r="G747" s="21"/>
    </row>
    <row r="748" spans="1:7" ht="12" customHeight="1" x14ac:dyDescent="0.2">
      <c r="A748" s="20"/>
      <c r="B748" s="21"/>
      <c r="C748" s="22"/>
      <c r="D748" s="23"/>
      <c r="E748" s="24"/>
      <c r="F748" s="24"/>
      <c r="G748" s="21"/>
    </row>
    <row r="749" spans="1:7" ht="12" customHeight="1" x14ac:dyDescent="0.2">
      <c r="A749" s="20"/>
      <c r="B749" s="21"/>
      <c r="C749" s="22"/>
      <c r="D749" s="23"/>
      <c r="E749" s="24"/>
      <c r="F749" s="24"/>
      <c r="G749" s="21"/>
    </row>
    <row r="750" spans="1:7" ht="12" customHeight="1" x14ac:dyDescent="0.2">
      <c r="A750" s="20"/>
      <c r="B750" s="21"/>
      <c r="C750" s="22"/>
      <c r="D750" s="23"/>
      <c r="E750" s="24"/>
      <c r="F750" s="24"/>
      <c r="G750" s="21"/>
    </row>
    <row r="751" spans="1:7" ht="12" customHeight="1" x14ac:dyDescent="0.2">
      <c r="A751" s="20"/>
      <c r="B751" s="21"/>
      <c r="C751" s="22"/>
      <c r="D751" s="23"/>
      <c r="E751" s="24"/>
      <c r="F751" s="24"/>
      <c r="G751" s="21"/>
    </row>
    <row r="752" spans="1:7" ht="12" customHeight="1" x14ac:dyDescent="0.2">
      <c r="A752" s="20"/>
      <c r="B752" s="21"/>
      <c r="C752" s="22"/>
      <c r="D752" s="23"/>
      <c r="E752" s="24"/>
      <c r="F752" s="24"/>
      <c r="G752" s="21"/>
    </row>
    <row r="753" spans="1:7" ht="12" customHeight="1" x14ac:dyDescent="0.2">
      <c r="A753" s="20"/>
      <c r="B753" s="21"/>
      <c r="C753" s="22"/>
      <c r="D753" s="23"/>
      <c r="E753" s="24"/>
      <c r="F753" s="24"/>
      <c r="G753" s="21"/>
    </row>
    <row r="754" spans="1:7" ht="12" customHeight="1" x14ac:dyDescent="0.2">
      <c r="A754" s="20"/>
      <c r="B754" s="21"/>
      <c r="C754" s="22"/>
      <c r="D754" s="23"/>
      <c r="E754" s="24"/>
      <c r="F754" s="24"/>
      <c r="G754" s="21"/>
    </row>
    <row r="755" spans="1:7" ht="12" customHeight="1" x14ac:dyDescent="0.2">
      <c r="A755" s="20"/>
      <c r="B755" s="21"/>
      <c r="C755" s="22"/>
      <c r="D755" s="23"/>
      <c r="E755" s="24"/>
      <c r="F755" s="24"/>
      <c r="G755" s="21"/>
    </row>
    <row r="756" spans="1:7" ht="12" customHeight="1" x14ac:dyDescent="0.2">
      <c r="A756" s="20"/>
      <c r="B756" s="21"/>
      <c r="C756" s="22"/>
      <c r="D756" s="23"/>
      <c r="E756" s="24"/>
      <c r="F756" s="24"/>
      <c r="G756" s="21"/>
    </row>
    <row r="757" spans="1:7" ht="12" customHeight="1" x14ac:dyDescent="0.2">
      <c r="A757" s="20"/>
      <c r="B757" s="21"/>
      <c r="C757" s="22"/>
      <c r="D757" s="23"/>
      <c r="E757" s="24"/>
      <c r="F757" s="24"/>
      <c r="G757" s="21"/>
    </row>
    <row r="758" spans="1:7" ht="12" customHeight="1" x14ac:dyDescent="0.2">
      <c r="A758" s="20"/>
      <c r="B758" s="21"/>
      <c r="C758" s="22"/>
      <c r="D758" s="23"/>
      <c r="E758" s="24"/>
      <c r="F758" s="24"/>
      <c r="G758" s="21"/>
    </row>
    <row r="759" spans="1:7" ht="12" customHeight="1" x14ac:dyDescent="0.2">
      <c r="A759" s="20"/>
      <c r="B759" s="21"/>
      <c r="C759" s="22"/>
      <c r="D759" s="23"/>
      <c r="E759" s="24"/>
      <c r="F759" s="24"/>
      <c r="G759" s="21"/>
    </row>
    <row r="760" spans="1:7" ht="12" customHeight="1" x14ac:dyDescent="0.2">
      <c r="A760" s="20"/>
      <c r="B760" s="21"/>
      <c r="C760" s="22"/>
      <c r="D760" s="23"/>
      <c r="E760" s="24"/>
      <c r="F760" s="24"/>
      <c r="G760" s="21"/>
    </row>
    <row r="761" spans="1:7" ht="12" customHeight="1" x14ac:dyDescent="0.2">
      <c r="A761" s="20"/>
      <c r="B761" s="21"/>
      <c r="C761" s="22"/>
      <c r="D761" s="23"/>
      <c r="E761" s="24"/>
      <c r="F761" s="24"/>
      <c r="G761" s="21"/>
    </row>
    <row r="762" spans="1:7" ht="12" customHeight="1" x14ac:dyDescent="0.2">
      <c r="A762" s="20"/>
      <c r="B762" s="21"/>
      <c r="C762" s="22"/>
      <c r="D762" s="23"/>
      <c r="E762" s="24"/>
      <c r="F762" s="24"/>
      <c r="G762" s="21"/>
    </row>
    <row r="763" spans="1:7" ht="12" customHeight="1" x14ac:dyDescent="0.2">
      <c r="A763" s="20"/>
      <c r="B763" s="21"/>
      <c r="C763" s="22"/>
      <c r="D763" s="23"/>
      <c r="E763" s="24"/>
      <c r="F763" s="24"/>
      <c r="G763" s="21"/>
    </row>
    <row r="764" spans="1:7" ht="12" customHeight="1" x14ac:dyDescent="0.2">
      <c r="A764" s="20"/>
      <c r="B764" s="21"/>
      <c r="C764" s="22"/>
      <c r="D764" s="23"/>
      <c r="E764" s="24"/>
      <c r="F764" s="24"/>
      <c r="G764" s="21"/>
    </row>
    <row r="765" spans="1:7" ht="12" customHeight="1" x14ac:dyDescent="0.2">
      <c r="A765" s="20"/>
      <c r="B765" s="21"/>
      <c r="C765" s="22"/>
      <c r="D765" s="23"/>
      <c r="E765" s="24"/>
      <c r="F765" s="24"/>
      <c r="G765" s="21"/>
    </row>
    <row r="766" spans="1:7" ht="12" customHeight="1" x14ac:dyDescent="0.2">
      <c r="A766" s="20"/>
      <c r="B766" s="21"/>
      <c r="C766" s="22"/>
      <c r="D766" s="23"/>
      <c r="E766" s="24"/>
      <c r="F766" s="24"/>
      <c r="G766" s="21"/>
    </row>
    <row r="767" spans="1:7" ht="12" customHeight="1" x14ac:dyDescent="0.2">
      <c r="A767" s="20"/>
      <c r="B767" s="21"/>
      <c r="C767" s="22"/>
      <c r="D767" s="23"/>
      <c r="E767" s="24"/>
      <c r="F767" s="24"/>
      <c r="G767" s="21"/>
    </row>
    <row r="768" spans="1:7" ht="12" customHeight="1" x14ac:dyDescent="0.2">
      <c r="A768" s="20"/>
      <c r="B768" s="21"/>
      <c r="C768" s="22"/>
      <c r="D768" s="23"/>
      <c r="E768" s="24"/>
      <c r="F768" s="24"/>
      <c r="G768" s="21"/>
    </row>
    <row r="769" spans="1:7" ht="12" customHeight="1" x14ac:dyDescent="0.2">
      <c r="A769" s="20"/>
      <c r="B769" s="21"/>
      <c r="C769" s="22"/>
      <c r="D769" s="23"/>
      <c r="E769" s="24"/>
      <c r="F769" s="24"/>
      <c r="G769" s="21"/>
    </row>
    <row r="770" spans="1:7" ht="12" customHeight="1" x14ac:dyDescent="0.2">
      <c r="A770" s="20"/>
      <c r="B770" s="21"/>
      <c r="C770" s="22"/>
      <c r="D770" s="23"/>
      <c r="E770" s="24"/>
      <c r="F770" s="24"/>
      <c r="G770" s="21"/>
    </row>
    <row r="771" spans="1:7" ht="12" customHeight="1" x14ac:dyDescent="0.2">
      <c r="A771" s="20"/>
      <c r="B771" s="21"/>
      <c r="C771" s="22"/>
      <c r="D771" s="23"/>
      <c r="E771" s="24"/>
      <c r="F771" s="24"/>
      <c r="G771" s="21"/>
    </row>
    <row r="772" spans="1:7" ht="12" customHeight="1" x14ac:dyDescent="0.2">
      <c r="A772" s="20"/>
      <c r="B772" s="21"/>
      <c r="C772" s="22"/>
      <c r="D772" s="23"/>
      <c r="E772" s="24"/>
      <c r="F772" s="24"/>
      <c r="G772" s="21"/>
    </row>
    <row r="773" spans="1:7" ht="12" customHeight="1" x14ac:dyDescent="0.2">
      <c r="A773" s="20"/>
      <c r="B773" s="21"/>
      <c r="C773" s="22"/>
      <c r="D773" s="23"/>
      <c r="E773" s="24"/>
      <c r="F773" s="24"/>
      <c r="G773" s="21"/>
    </row>
    <row r="774" spans="1:7" ht="12" customHeight="1" x14ac:dyDescent="0.2">
      <c r="A774" s="20"/>
      <c r="B774" s="21"/>
      <c r="C774" s="22"/>
      <c r="D774" s="23"/>
      <c r="E774" s="24"/>
      <c r="F774" s="24"/>
      <c r="G774" s="21"/>
    </row>
    <row r="775" spans="1:7" ht="12" customHeight="1" x14ac:dyDescent="0.2">
      <c r="A775" s="20"/>
      <c r="B775" s="21"/>
      <c r="C775" s="22"/>
      <c r="D775" s="23"/>
      <c r="E775" s="24"/>
      <c r="F775" s="24"/>
      <c r="G775" s="21"/>
    </row>
    <row r="776" spans="1:7" ht="12" customHeight="1" x14ac:dyDescent="0.2">
      <c r="A776" s="20"/>
      <c r="B776" s="21"/>
      <c r="C776" s="22"/>
      <c r="D776" s="23"/>
      <c r="E776" s="24"/>
      <c r="F776" s="24"/>
      <c r="G776" s="21"/>
    </row>
    <row r="777" spans="1:7" ht="12" customHeight="1" x14ac:dyDescent="0.2">
      <c r="A777" s="20"/>
      <c r="B777" s="21"/>
      <c r="C777" s="22"/>
      <c r="D777" s="23"/>
      <c r="E777" s="24"/>
      <c r="F777" s="24"/>
      <c r="G777" s="21"/>
    </row>
    <row r="778" spans="1:7" ht="12" customHeight="1" x14ac:dyDescent="0.2">
      <c r="A778" s="20"/>
      <c r="B778" s="21"/>
      <c r="C778" s="22"/>
      <c r="D778" s="23"/>
      <c r="E778" s="24"/>
      <c r="F778" s="24"/>
      <c r="G778" s="21"/>
    </row>
    <row r="779" spans="1:7" ht="12" customHeight="1" x14ac:dyDescent="0.2">
      <c r="A779" s="20"/>
      <c r="B779" s="21"/>
      <c r="C779" s="22"/>
      <c r="D779" s="23"/>
      <c r="E779" s="24"/>
      <c r="F779" s="24"/>
      <c r="G779" s="21"/>
    </row>
    <row r="780" spans="1:7" ht="12" customHeight="1" x14ac:dyDescent="0.2">
      <c r="A780" s="20"/>
      <c r="B780" s="21"/>
      <c r="C780" s="22"/>
      <c r="D780" s="23"/>
      <c r="E780" s="24"/>
      <c r="F780" s="24"/>
      <c r="G780" s="21"/>
    </row>
    <row r="781" spans="1:7" ht="12" customHeight="1" x14ac:dyDescent="0.2">
      <c r="A781" s="20"/>
      <c r="B781" s="21"/>
      <c r="C781" s="22"/>
      <c r="D781" s="23"/>
      <c r="E781" s="24"/>
      <c r="F781" s="24"/>
      <c r="G781" s="21"/>
    </row>
    <row r="782" spans="1:7" ht="12" customHeight="1" x14ac:dyDescent="0.2">
      <c r="A782" s="20"/>
      <c r="B782" s="21"/>
      <c r="C782" s="22"/>
      <c r="D782" s="23"/>
      <c r="E782" s="24"/>
      <c r="F782" s="24"/>
      <c r="G782" s="21"/>
    </row>
    <row r="783" spans="1:7" ht="12" customHeight="1" x14ac:dyDescent="0.2">
      <c r="A783" s="20"/>
      <c r="B783" s="21"/>
      <c r="C783" s="22"/>
      <c r="D783" s="23"/>
      <c r="E783" s="24"/>
      <c r="F783" s="24"/>
      <c r="G783" s="21"/>
    </row>
    <row r="784" spans="1:7" ht="12" customHeight="1" x14ac:dyDescent="0.2">
      <c r="A784" s="20"/>
      <c r="B784" s="21"/>
      <c r="C784" s="22"/>
      <c r="D784" s="23"/>
      <c r="E784" s="24"/>
      <c r="F784" s="24"/>
      <c r="G784" s="21"/>
    </row>
    <row r="785" spans="1:7" ht="12" customHeight="1" x14ac:dyDescent="0.2">
      <c r="A785" s="20"/>
      <c r="B785" s="21"/>
      <c r="C785" s="22"/>
      <c r="D785" s="23"/>
      <c r="E785" s="24"/>
      <c r="F785" s="24"/>
      <c r="G785" s="21"/>
    </row>
    <row r="786" spans="1:7" ht="12" customHeight="1" x14ac:dyDescent="0.2">
      <c r="A786" s="20"/>
      <c r="B786" s="21"/>
      <c r="C786" s="22"/>
      <c r="D786" s="23"/>
      <c r="E786" s="24"/>
      <c r="F786" s="24"/>
      <c r="G786" s="21"/>
    </row>
    <row r="787" spans="1:7" ht="12" customHeight="1" x14ac:dyDescent="0.2">
      <c r="A787" s="20"/>
      <c r="B787" s="21"/>
      <c r="C787" s="22"/>
      <c r="D787" s="23"/>
      <c r="E787" s="24"/>
      <c r="F787" s="24"/>
      <c r="G787" s="21"/>
    </row>
    <row r="788" spans="1:7" ht="12" customHeight="1" x14ac:dyDescent="0.2">
      <c r="A788" s="20"/>
      <c r="B788" s="21"/>
      <c r="C788" s="22"/>
      <c r="D788" s="23"/>
      <c r="E788" s="24"/>
      <c r="F788" s="24"/>
      <c r="G788" s="21"/>
    </row>
    <row r="789" spans="1:7" ht="12" customHeight="1" x14ac:dyDescent="0.2">
      <c r="A789" s="20"/>
      <c r="B789" s="21"/>
      <c r="C789" s="22"/>
      <c r="D789" s="23"/>
      <c r="E789" s="24"/>
      <c r="F789" s="24"/>
      <c r="G789" s="21"/>
    </row>
    <row r="790" spans="1:7" ht="12" customHeight="1" x14ac:dyDescent="0.2">
      <c r="A790" s="20"/>
      <c r="B790" s="21"/>
      <c r="C790" s="22"/>
      <c r="D790" s="23"/>
      <c r="E790" s="24"/>
      <c r="F790" s="24"/>
      <c r="G790" s="21"/>
    </row>
    <row r="791" spans="1:7" ht="12" customHeight="1" x14ac:dyDescent="0.2">
      <c r="A791" s="20"/>
      <c r="B791" s="21"/>
      <c r="C791" s="22"/>
      <c r="D791" s="23"/>
      <c r="E791" s="24"/>
      <c r="F791" s="24"/>
      <c r="G791" s="21"/>
    </row>
    <row r="792" spans="1:7" ht="12" customHeight="1" x14ac:dyDescent="0.2">
      <c r="A792" s="20"/>
      <c r="B792" s="21"/>
      <c r="C792" s="22"/>
      <c r="D792" s="23"/>
      <c r="E792" s="24"/>
      <c r="F792" s="24"/>
      <c r="G792" s="21"/>
    </row>
    <row r="793" spans="1:7" ht="12" customHeight="1" x14ac:dyDescent="0.2">
      <c r="A793" s="20"/>
      <c r="B793" s="21"/>
      <c r="C793" s="22"/>
      <c r="D793" s="23"/>
      <c r="E793" s="24"/>
      <c r="F793" s="24"/>
      <c r="G793" s="21"/>
    </row>
    <row r="794" spans="1:7" ht="12" customHeight="1" x14ac:dyDescent="0.2">
      <c r="A794" s="20"/>
      <c r="B794" s="21"/>
      <c r="C794" s="22"/>
      <c r="D794" s="23"/>
      <c r="E794" s="24"/>
      <c r="F794" s="24"/>
      <c r="G794" s="21"/>
    </row>
    <row r="795" spans="1:7" ht="12" customHeight="1" x14ac:dyDescent="0.2">
      <c r="A795" s="20"/>
      <c r="B795" s="21"/>
      <c r="C795" s="22"/>
      <c r="D795" s="23"/>
      <c r="E795" s="24"/>
      <c r="F795" s="24"/>
      <c r="G795" s="21"/>
    </row>
    <row r="796" spans="1:7" ht="12" customHeight="1" x14ac:dyDescent="0.2">
      <c r="A796" s="20"/>
      <c r="B796" s="21"/>
      <c r="C796" s="22"/>
      <c r="D796" s="23"/>
      <c r="E796" s="24"/>
      <c r="F796" s="24"/>
      <c r="G796" s="21"/>
    </row>
    <row r="797" spans="1:7" ht="12" customHeight="1" x14ac:dyDescent="0.2">
      <c r="A797" s="20"/>
      <c r="B797" s="21"/>
      <c r="C797" s="22"/>
      <c r="D797" s="23"/>
      <c r="E797" s="24"/>
      <c r="F797" s="24"/>
      <c r="G797" s="21"/>
    </row>
    <row r="798" spans="1:7" ht="12" customHeight="1" x14ac:dyDescent="0.2">
      <c r="A798" s="20"/>
      <c r="B798" s="21"/>
      <c r="C798" s="22"/>
      <c r="D798" s="23"/>
      <c r="E798" s="24"/>
      <c r="F798" s="24"/>
      <c r="G798" s="21"/>
    </row>
    <row r="799" spans="1:7" ht="12" customHeight="1" x14ac:dyDescent="0.2">
      <c r="A799" s="20"/>
      <c r="B799" s="21"/>
      <c r="C799" s="22"/>
      <c r="D799" s="23"/>
      <c r="E799" s="24"/>
      <c r="F799" s="24"/>
      <c r="G799" s="21"/>
    </row>
    <row r="800" spans="1:7" ht="12" customHeight="1" x14ac:dyDescent="0.2">
      <c r="A800" s="20"/>
      <c r="B800" s="21"/>
      <c r="C800" s="22"/>
      <c r="D800" s="23"/>
      <c r="E800" s="24"/>
      <c r="F800" s="24"/>
      <c r="G800" s="21"/>
    </row>
    <row r="801" spans="1:7" ht="12" customHeight="1" x14ac:dyDescent="0.2">
      <c r="A801" s="20"/>
      <c r="B801" s="21"/>
      <c r="C801" s="22"/>
      <c r="D801" s="23"/>
      <c r="E801" s="24"/>
      <c r="F801" s="24"/>
      <c r="G801" s="21"/>
    </row>
    <row r="802" spans="1:7" ht="12" customHeight="1" x14ac:dyDescent="0.2">
      <c r="A802" s="20"/>
      <c r="B802" s="21"/>
      <c r="C802" s="22"/>
      <c r="D802" s="23"/>
      <c r="E802" s="24"/>
      <c r="F802" s="24"/>
      <c r="G802" s="21"/>
    </row>
    <row r="803" spans="1:7" ht="12" customHeight="1" x14ac:dyDescent="0.2">
      <c r="A803" s="20"/>
      <c r="B803" s="21"/>
      <c r="C803" s="22"/>
      <c r="D803" s="23"/>
      <c r="E803" s="24"/>
      <c r="F803" s="24"/>
      <c r="G803" s="21"/>
    </row>
    <row r="804" spans="1:7" ht="12" customHeight="1" x14ac:dyDescent="0.2">
      <c r="A804" s="20"/>
      <c r="B804" s="21"/>
      <c r="C804" s="22"/>
      <c r="D804" s="23"/>
      <c r="E804" s="24"/>
      <c r="F804" s="24"/>
      <c r="G804" s="21"/>
    </row>
    <row r="805" spans="1:7" ht="12" customHeight="1" x14ac:dyDescent="0.2">
      <c r="A805" s="20"/>
      <c r="B805" s="21"/>
      <c r="C805" s="22"/>
      <c r="D805" s="23"/>
      <c r="E805" s="24"/>
      <c r="F805" s="24"/>
      <c r="G805" s="21"/>
    </row>
    <row r="806" spans="1:7" ht="12" customHeight="1" x14ac:dyDescent="0.2">
      <c r="A806" s="20"/>
      <c r="B806" s="21"/>
      <c r="C806" s="22"/>
      <c r="D806" s="23"/>
      <c r="E806" s="24"/>
      <c r="F806" s="24"/>
      <c r="G806" s="21"/>
    </row>
    <row r="807" spans="1:7" ht="12" customHeight="1" x14ac:dyDescent="0.2">
      <c r="A807" s="20"/>
      <c r="B807" s="21"/>
      <c r="C807" s="22"/>
      <c r="D807" s="23"/>
      <c r="E807" s="24"/>
      <c r="F807" s="24"/>
      <c r="G807" s="21"/>
    </row>
    <row r="808" spans="1:7" ht="12" customHeight="1" x14ac:dyDescent="0.2">
      <c r="A808" s="20"/>
      <c r="B808" s="21"/>
      <c r="C808" s="22"/>
      <c r="D808" s="23"/>
      <c r="E808" s="24"/>
      <c r="F808" s="24"/>
      <c r="G808" s="21"/>
    </row>
    <row r="809" spans="1:7" ht="12" customHeight="1" x14ac:dyDescent="0.2">
      <c r="A809" s="20"/>
      <c r="B809" s="21"/>
      <c r="C809" s="22"/>
      <c r="D809" s="23"/>
      <c r="E809" s="24"/>
      <c r="F809" s="24"/>
      <c r="G809" s="21"/>
    </row>
    <row r="810" spans="1:7" ht="12" customHeight="1" x14ac:dyDescent="0.2">
      <c r="A810" s="20"/>
      <c r="B810" s="21"/>
      <c r="C810" s="22"/>
      <c r="D810" s="23"/>
      <c r="E810" s="24"/>
      <c r="F810" s="24"/>
      <c r="G810" s="21"/>
    </row>
    <row r="811" spans="1:7" ht="12" customHeight="1" x14ac:dyDescent="0.2">
      <c r="A811" s="20"/>
      <c r="B811" s="21"/>
      <c r="C811" s="22"/>
      <c r="D811" s="23"/>
      <c r="E811" s="24"/>
      <c r="F811" s="24"/>
      <c r="G811" s="21"/>
    </row>
    <row r="812" spans="1:7" ht="12" customHeight="1" x14ac:dyDescent="0.2">
      <c r="A812" s="20"/>
      <c r="B812" s="21"/>
      <c r="C812" s="22"/>
      <c r="D812" s="23"/>
      <c r="E812" s="24"/>
      <c r="F812" s="24"/>
      <c r="G812" s="21"/>
    </row>
    <row r="813" spans="1:7" ht="12" customHeight="1" x14ac:dyDescent="0.2">
      <c r="A813" s="20"/>
      <c r="B813" s="21"/>
      <c r="C813" s="22"/>
      <c r="D813" s="23"/>
      <c r="E813" s="24"/>
      <c r="F813" s="24"/>
      <c r="G813" s="21"/>
    </row>
    <row r="814" spans="1:7" ht="12" customHeight="1" x14ac:dyDescent="0.2">
      <c r="A814" s="20"/>
      <c r="B814" s="21"/>
      <c r="C814" s="22"/>
      <c r="D814" s="23"/>
      <c r="E814" s="24"/>
      <c r="F814" s="24"/>
      <c r="G814" s="21"/>
    </row>
    <row r="815" spans="1:7" ht="12" customHeight="1" x14ac:dyDescent="0.2">
      <c r="A815" s="20"/>
      <c r="B815" s="21"/>
      <c r="C815" s="22"/>
      <c r="D815" s="23"/>
      <c r="E815" s="24"/>
      <c r="F815" s="24"/>
      <c r="G815" s="21"/>
    </row>
    <row r="816" spans="1:7" ht="12" customHeight="1" x14ac:dyDescent="0.2">
      <c r="A816" s="20"/>
      <c r="B816" s="21"/>
      <c r="C816" s="22"/>
      <c r="D816" s="23"/>
      <c r="E816" s="24"/>
      <c r="F816" s="24"/>
      <c r="G816" s="21"/>
    </row>
    <row r="817" spans="1:7" ht="12" customHeight="1" x14ac:dyDescent="0.2">
      <c r="A817" s="20"/>
      <c r="B817" s="21"/>
      <c r="C817" s="22"/>
      <c r="D817" s="23"/>
      <c r="E817" s="24"/>
      <c r="F817" s="24"/>
      <c r="G817" s="21"/>
    </row>
    <row r="818" spans="1:7" ht="12" customHeight="1" x14ac:dyDescent="0.2">
      <c r="A818" s="20"/>
      <c r="B818" s="21"/>
      <c r="C818" s="22"/>
      <c r="D818" s="23"/>
      <c r="E818" s="24"/>
      <c r="F818" s="24"/>
      <c r="G818" s="21"/>
    </row>
    <row r="819" spans="1:7" ht="12" customHeight="1" x14ac:dyDescent="0.2">
      <c r="A819" s="20"/>
      <c r="B819" s="21"/>
      <c r="C819" s="22"/>
      <c r="D819" s="23"/>
      <c r="E819" s="24"/>
      <c r="F819" s="24"/>
      <c r="G819" s="21"/>
    </row>
    <row r="820" spans="1:7" ht="12" customHeight="1" x14ac:dyDescent="0.2">
      <c r="A820" s="20"/>
      <c r="B820" s="21"/>
      <c r="C820" s="22"/>
      <c r="D820" s="23"/>
      <c r="E820" s="24"/>
      <c r="F820" s="24"/>
      <c r="G820" s="21"/>
    </row>
    <row r="821" spans="1:7" ht="12" customHeight="1" x14ac:dyDescent="0.2">
      <c r="A821" s="20"/>
      <c r="B821" s="21"/>
      <c r="C821" s="22"/>
      <c r="D821" s="23"/>
      <c r="E821" s="24"/>
      <c r="F821" s="24"/>
      <c r="G821" s="21"/>
    </row>
    <row r="822" spans="1:7" ht="12" customHeight="1" x14ac:dyDescent="0.2">
      <c r="A822" s="20"/>
      <c r="B822" s="21"/>
      <c r="C822" s="22"/>
      <c r="D822" s="23"/>
      <c r="E822" s="24"/>
      <c r="F822" s="24"/>
      <c r="G822" s="21"/>
    </row>
    <row r="823" spans="1:7" ht="12" customHeight="1" x14ac:dyDescent="0.2">
      <c r="A823" s="20"/>
      <c r="B823" s="21"/>
      <c r="C823" s="22"/>
      <c r="D823" s="23"/>
      <c r="E823" s="24"/>
      <c r="F823" s="24"/>
      <c r="G823" s="21"/>
    </row>
    <row r="824" spans="1:7" ht="12" customHeight="1" x14ac:dyDescent="0.2">
      <c r="A824" s="20"/>
      <c r="B824" s="21"/>
      <c r="C824" s="22"/>
      <c r="D824" s="23"/>
      <c r="E824" s="24"/>
      <c r="F824" s="24"/>
      <c r="G824" s="21"/>
    </row>
    <row r="825" spans="1:7" ht="12" customHeight="1" x14ac:dyDescent="0.2">
      <c r="A825" s="20"/>
      <c r="B825" s="21"/>
      <c r="C825" s="22"/>
      <c r="D825" s="23"/>
      <c r="E825" s="24"/>
      <c r="F825" s="24"/>
      <c r="G825" s="21"/>
    </row>
    <row r="826" spans="1:7" ht="12" customHeight="1" x14ac:dyDescent="0.2">
      <c r="A826" s="20"/>
      <c r="B826" s="21"/>
      <c r="C826" s="22"/>
      <c r="D826" s="23"/>
      <c r="E826" s="24"/>
      <c r="F826" s="24"/>
      <c r="G826" s="21"/>
    </row>
    <row r="827" spans="1:7" ht="12" customHeight="1" x14ac:dyDescent="0.2">
      <c r="A827" s="20"/>
      <c r="B827" s="21"/>
      <c r="C827" s="22"/>
      <c r="D827" s="23"/>
      <c r="E827" s="24"/>
      <c r="F827" s="24"/>
      <c r="G827" s="21"/>
    </row>
    <row r="828" spans="1:7" ht="12" customHeight="1" x14ac:dyDescent="0.2">
      <c r="A828" s="20"/>
      <c r="B828" s="21"/>
      <c r="C828" s="22"/>
      <c r="D828" s="23"/>
      <c r="E828" s="24"/>
      <c r="F828" s="24"/>
      <c r="G828" s="21"/>
    </row>
    <row r="829" spans="1:7" ht="12" customHeight="1" x14ac:dyDescent="0.2">
      <c r="A829" s="20"/>
      <c r="B829" s="21"/>
      <c r="C829" s="22"/>
      <c r="D829" s="23"/>
      <c r="E829" s="24"/>
      <c r="F829" s="24"/>
      <c r="G829" s="21"/>
    </row>
    <row r="830" spans="1:7" ht="12" customHeight="1" x14ac:dyDescent="0.2">
      <c r="A830" s="20"/>
      <c r="B830" s="21"/>
      <c r="C830" s="22"/>
      <c r="D830" s="23"/>
      <c r="E830" s="24"/>
      <c r="F830" s="24"/>
      <c r="G830" s="21"/>
    </row>
    <row r="831" spans="1:7" ht="12" customHeight="1" x14ac:dyDescent="0.2">
      <c r="A831" s="20"/>
      <c r="B831" s="21"/>
      <c r="C831" s="22"/>
      <c r="D831" s="23"/>
      <c r="E831" s="24"/>
      <c r="F831" s="24"/>
      <c r="G831" s="21"/>
    </row>
    <row r="832" spans="1:7" ht="12" customHeight="1" x14ac:dyDescent="0.2">
      <c r="A832" s="20"/>
      <c r="B832" s="21"/>
      <c r="C832" s="22"/>
      <c r="D832" s="23"/>
      <c r="E832" s="24"/>
      <c r="F832" s="24"/>
      <c r="G832" s="21"/>
    </row>
    <row r="833" spans="1:7" ht="12" customHeight="1" x14ac:dyDescent="0.2">
      <c r="A833" s="20"/>
      <c r="B833" s="21"/>
      <c r="C833" s="22"/>
      <c r="D833" s="23"/>
      <c r="E833" s="24"/>
      <c r="F833" s="24"/>
      <c r="G833" s="21"/>
    </row>
    <row r="834" spans="1:7" ht="12" customHeight="1" x14ac:dyDescent="0.2">
      <c r="A834" s="20"/>
      <c r="B834" s="21"/>
      <c r="C834" s="22"/>
      <c r="D834" s="23"/>
      <c r="E834" s="24"/>
      <c r="F834" s="24"/>
      <c r="G834" s="21"/>
    </row>
    <row r="835" spans="1:7" ht="12" customHeight="1" x14ac:dyDescent="0.2">
      <c r="A835" s="20"/>
      <c r="B835" s="21"/>
      <c r="C835" s="22"/>
      <c r="D835" s="23"/>
      <c r="E835" s="24"/>
      <c r="F835" s="24"/>
      <c r="G835" s="21"/>
    </row>
    <row r="836" spans="1:7" ht="12" customHeight="1" x14ac:dyDescent="0.2">
      <c r="A836" s="20"/>
      <c r="B836" s="21"/>
      <c r="C836" s="22"/>
      <c r="D836" s="23"/>
      <c r="E836" s="24"/>
      <c r="F836" s="24"/>
      <c r="G836" s="21"/>
    </row>
    <row r="837" spans="1:7" ht="12" customHeight="1" x14ac:dyDescent="0.2">
      <c r="A837" s="20"/>
      <c r="B837" s="21"/>
      <c r="C837" s="22"/>
      <c r="D837" s="23"/>
      <c r="E837" s="24"/>
      <c r="F837" s="24"/>
      <c r="G837" s="21"/>
    </row>
    <row r="838" spans="1:7" ht="12" customHeight="1" x14ac:dyDescent="0.2">
      <c r="A838" s="20"/>
      <c r="B838" s="21"/>
      <c r="C838" s="22"/>
      <c r="D838" s="23"/>
      <c r="E838" s="24"/>
      <c r="F838" s="24"/>
      <c r="G838" s="21"/>
    </row>
    <row r="839" spans="1:7" ht="12" customHeight="1" x14ac:dyDescent="0.2">
      <c r="A839" s="20"/>
      <c r="B839" s="21"/>
      <c r="C839" s="22"/>
      <c r="D839" s="23"/>
      <c r="E839" s="24"/>
      <c r="F839" s="24"/>
      <c r="G839" s="21"/>
    </row>
    <row r="840" spans="1:7" ht="12" customHeight="1" x14ac:dyDescent="0.2">
      <c r="A840" s="20"/>
      <c r="B840" s="21"/>
      <c r="C840" s="22"/>
      <c r="D840" s="23"/>
      <c r="E840" s="24"/>
      <c r="F840" s="24"/>
      <c r="G840" s="21"/>
    </row>
    <row r="841" spans="1:7" ht="12" customHeight="1" x14ac:dyDescent="0.2">
      <c r="A841" s="20"/>
      <c r="B841" s="21"/>
      <c r="C841" s="22"/>
      <c r="D841" s="23"/>
      <c r="E841" s="24"/>
      <c r="F841" s="24"/>
      <c r="G841" s="21"/>
    </row>
    <row r="842" spans="1:7" ht="12" customHeight="1" x14ac:dyDescent="0.2">
      <c r="A842" s="20"/>
      <c r="B842" s="21"/>
      <c r="C842" s="22"/>
      <c r="D842" s="23"/>
      <c r="E842" s="24"/>
      <c r="F842" s="24"/>
      <c r="G842" s="21"/>
    </row>
    <row r="843" spans="1:7" ht="12" customHeight="1" x14ac:dyDescent="0.2">
      <c r="A843" s="20"/>
      <c r="B843" s="21"/>
      <c r="C843" s="22"/>
      <c r="D843" s="23"/>
      <c r="E843" s="24"/>
      <c r="F843" s="24"/>
      <c r="G843" s="21"/>
    </row>
    <row r="844" spans="1:7" ht="12" customHeight="1" x14ac:dyDescent="0.2">
      <c r="A844" s="20"/>
      <c r="B844" s="21"/>
      <c r="C844" s="22"/>
      <c r="D844" s="23"/>
      <c r="E844" s="24"/>
      <c r="F844" s="24"/>
      <c r="G844" s="21"/>
    </row>
    <row r="845" spans="1:7" ht="12" customHeight="1" x14ac:dyDescent="0.2">
      <c r="A845" s="20"/>
      <c r="B845" s="21"/>
      <c r="C845" s="22"/>
      <c r="D845" s="23"/>
      <c r="E845" s="24"/>
      <c r="F845" s="24"/>
      <c r="G845" s="21"/>
    </row>
    <row r="846" spans="1:7" ht="12" customHeight="1" x14ac:dyDescent="0.2">
      <c r="A846" s="20"/>
      <c r="B846" s="21"/>
      <c r="C846" s="22"/>
      <c r="D846" s="23"/>
      <c r="E846" s="24"/>
      <c r="F846" s="24"/>
      <c r="G846" s="21"/>
    </row>
    <row r="847" spans="1:7" ht="12" customHeight="1" x14ac:dyDescent="0.2">
      <c r="A847" s="20"/>
      <c r="B847" s="21"/>
      <c r="C847" s="22"/>
      <c r="D847" s="23"/>
      <c r="E847" s="24"/>
      <c r="F847" s="24"/>
      <c r="G847" s="21"/>
    </row>
    <row r="848" spans="1:7" ht="12" customHeight="1" x14ac:dyDescent="0.2">
      <c r="A848" s="20"/>
      <c r="B848" s="21"/>
      <c r="C848" s="22"/>
      <c r="D848" s="23"/>
      <c r="E848" s="24"/>
      <c r="F848" s="24"/>
      <c r="G848" s="21"/>
    </row>
    <row r="849" spans="1:7" ht="12" customHeight="1" x14ac:dyDescent="0.2">
      <c r="A849" s="20"/>
      <c r="B849" s="21"/>
      <c r="C849" s="22"/>
      <c r="D849" s="23"/>
      <c r="E849" s="24"/>
      <c r="F849" s="24"/>
      <c r="G849" s="21"/>
    </row>
    <row r="850" spans="1:7" ht="12" customHeight="1" x14ac:dyDescent="0.2">
      <c r="A850" s="20"/>
      <c r="B850" s="21"/>
      <c r="C850" s="22"/>
      <c r="D850" s="23"/>
      <c r="E850" s="24"/>
      <c r="F850" s="24"/>
      <c r="G850" s="21"/>
    </row>
    <row r="851" spans="1:7" ht="12" customHeight="1" x14ac:dyDescent="0.2">
      <c r="A851" s="20"/>
      <c r="B851" s="21"/>
      <c r="C851" s="22"/>
      <c r="D851" s="23"/>
      <c r="E851" s="24"/>
      <c r="F851" s="24"/>
      <c r="G851" s="21"/>
    </row>
    <row r="852" spans="1:7" ht="12" customHeight="1" x14ac:dyDescent="0.2">
      <c r="A852" s="20"/>
      <c r="B852" s="21"/>
      <c r="C852" s="22"/>
      <c r="D852" s="23"/>
      <c r="E852" s="24"/>
      <c r="F852" s="24"/>
      <c r="G852" s="21"/>
    </row>
    <row r="853" spans="1:7" ht="12" customHeight="1" x14ac:dyDescent="0.2">
      <c r="A853" s="20"/>
      <c r="B853" s="21"/>
      <c r="C853" s="22"/>
      <c r="D853" s="23"/>
      <c r="E853" s="24"/>
      <c r="F853" s="24"/>
      <c r="G853" s="21"/>
    </row>
    <row r="854" spans="1:7" ht="12" customHeight="1" x14ac:dyDescent="0.2">
      <c r="A854" s="20"/>
      <c r="B854" s="21"/>
      <c r="C854" s="22"/>
      <c r="D854" s="23"/>
      <c r="E854" s="24"/>
      <c r="F854" s="24"/>
      <c r="G854" s="21"/>
    </row>
    <row r="855" spans="1:7" ht="12" customHeight="1" x14ac:dyDescent="0.2">
      <c r="A855" s="20"/>
      <c r="B855" s="21"/>
      <c r="C855" s="22"/>
      <c r="D855" s="23"/>
      <c r="E855" s="24"/>
      <c r="F855" s="24"/>
      <c r="G855" s="21"/>
    </row>
    <row r="856" spans="1:7" ht="12" customHeight="1" x14ac:dyDescent="0.2">
      <c r="A856" s="20"/>
      <c r="B856" s="21"/>
      <c r="C856" s="22"/>
      <c r="D856" s="23"/>
      <c r="E856" s="24"/>
      <c r="F856" s="24"/>
      <c r="G856" s="21"/>
    </row>
    <row r="857" spans="1:7" ht="12" customHeight="1" x14ac:dyDescent="0.2">
      <c r="A857" s="20"/>
      <c r="B857" s="21"/>
      <c r="C857" s="22"/>
      <c r="D857" s="23"/>
      <c r="E857" s="24"/>
      <c r="F857" s="24"/>
      <c r="G857" s="21"/>
    </row>
    <row r="858" spans="1:7" ht="12" customHeight="1" x14ac:dyDescent="0.2">
      <c r="A858" s="20"/>
      <c r="B858" s="21"/>
      <c r="C858" s="22"/>
      <c r="D858" s="23"/>
      <c r="E858" s="24"/>
      <c r="F858" s="24"/>
      <c r="G858" s="21"/>
    </row>
    <row r="859" spans="1:7" ht="12" customHeight="1" x14ac:dyDescent="0.2">
      <c r="A859" s="20"/>
      <c r="B859" s="21"/>
      <c r="C859" s="22"/>
      <c r="D859" s="23"/>
      <c r="E859" s="24"/>
      <c r="F859" s="24"/>
      <c r="G859" s="21"/>
    </row>
    <row r="860" spans="1:7" ht="12" customHeight="1" x14ac:dyDescent="0.2">
      <c r="A860" s="20"/>
      <c r="B860" s="21"/>
      <c r="C860" s="22"/>
      <c r="D860" s="23"/>
      <c r="E860" s="24"/>
      <c r="F860" s="24"/>
      <c r="G860" s="21"/>
    </row>
    <row r="861" spans="1:7" ht="12" customHeight="1" x14ac:dyDescent="0.2">
      <c r="A861" s="20"/>
      <c r="B861" s="21"/>
      <c r="C861" s="22"/>
      <c r="D861" s="23"/>
      <c r="E861" s="24"/>
      <c r="F861" s="24"/>
      <c r="G861" s="21"/>
    </row>
    <row r="862" spans="1:7" ht="12" customHeight="1" x14ac:dyDescent="0.2">
      <c r="A862" s="20"/>
      <c r="B862" s="21"/>
      <c r="C862" s="22"/>
      <c r="D862" s="23"/>
      <c r="E862" s="24"/>
      <c r="F862" s="24"/>
      <c r="G862" s="21"/>
    </row>
    <row r="863" spans="1:7" ht="12" customHeight="1" x14ac:dyDescent="0.2">
      <c r="A863" s="20"/>
      <c r="B863" s="21"/>
      <c r="C863" s="22"/>
      <c r="D863" s="23"/>
      <c r="E863" s="24"/>
      <c r="F863" s="24"/>
      <c r="G863" s="21"/>
    </row>
    <row r="864" spans="1:7" ht="12" customHeight="1" x14ac:dyDescent="0.2">
      <c r="A864" s="20"/>
      <c r="B864" s="21"/>
      <c r="C864" s="22"/>
      <c r="D864" s="23"/>
      <c r="E864" s="24"/>
      <c r="F864" s="24"/>
      <c r="G864" s="21"/>
    </row>
    <row r="865" spans="1:7" ht="12" customHeight="1" x14ac:dyDescent="0.2">
      <c r="A865" s="20"/>
      <c r="B865" s="21"/>
      <c r="C865" s="22"/>
      <c r="D865" s="23"/>
      <c r="E865" s="24"/>
      <c r="F865" s="24"/>
      <c r="G865" s="21"/>
    </row>
    <row r="866" spans="1:7" ht="12" customHeight="1" x14ac:dyDescent="0.2">
      <c r="A866" s="20"/>
      <c r="B866" s="21"/>
      <c r="C866" s="22"/>
      <c r="D866" s="23"/>
      <c r="E866" s="24"/>
      <c r="F866" s="24"/>
      <c r="G866" s="21"/>
    </row>
    <row r="867" spans="1:7" ht="12" customHeight="1" x14ac:dyDescent="0.2">
      <c r="A867" s="20"/>
      <c r="B867" s="21"/>
      <c r="C867" s="22"/>
      <c r="D867" s="23"/>
      <c r="E867" s="24"/>
      <c r="F867" s="24"/>
      <c r="G867" s="21"/>
    </row>
    <row r="868" spans="1:7" ht="12" customHeight="1" x14ac:dyDescent="0.2">
      <c r="A868" s="20"/>
      <c r="B868" s="21"/>
      <c r="C868" s="22"/>
      <c r="D868" s="23"/>
      <c r="E868" s="24"/>
      <c r="F868" s="24"/>
      <c r="G868" s="21"/>
    </row>
    <row r="869" spans="1:7" ht="12" customHeight="1" x14ac:dyDescent="0.2">
      <c r="A869" s="20"/>
      <c r="B869" s="21"/>
      <c r="C869" s="22"/>
      <c r="D869" s="23"/>
      <c r="E869" s="24"/>
      <c r="F869" s="24"/>
      <c r="G869" s="21"/>
    </row>
    <row r="870" spans="1:7" ht="12" customHeight="1" x14ac:dyDescent="0.2">
      <c r="A870" s="20"/>
      <c r="B870" s="21"/>
      <c r="C870" s="22"/>
      <c r="D870" s="23"/>
      <c r="E870" s="24"/>
      <c r="F870" s="24"/>
      <c r="G870" s="21"/>
    </row>
    <row r="871" spans="1:7" ht="12" customHeight="1" x14ac:dyDescent="0.2">
      <c r="A871" s="20"/>
      <c r="B871" s="21"/>
      <c r="C871" s="22"/>
      <c r="D871" s="23"/>
      <c r="E871" s="24"/>
      <c r="F871" s="24"/>
      <c r="G871" s="21"/>
    </row>
    <row r="872" spans="1:7" ht="12" customHeight="1" x14ac:dyDescent="0.2">
      <c r="A872" s="20"/>
      <c r="B872" s="21"/>
      <c r="C872" s="22"/>
      <c r="D872" s="23"/>
      <c r="E872" s="24"/>
      <c r="F872" s="24"/>
      <c r="G872" s="21"/>
    </row>
    <row r="873" spans="1:7" ht="12" customHeight="1" x14ac:dyDescent="0.2">
      <c r="A873" s="20"/>
      <c r="B873" s="21"/>
      <c r="C873" s="22"/>
      <c r="D873" s="23"/>
      <c r="E873" s="24"/>
      <c r="F873" s="24"/>
      <c r="G873" s="21"/>
    </row>
    <row r="874" spans="1:7" ht="12" customHeight="1" x14ac:dyDescent="0.2">
      <c r="A874" s="20"/>
      <c r="B874" s="21"/>
      <c r="C874" s="22"/>
      <c r="D874" s="23"/>
      <c r="E874" s="24"/>
      <c r="F874" s="24"/>
      <c r="G874" s="21"/>
    </row>
    <row r="875" spans="1:7" ht="12" customHeight="1" x14ac:dyDescent="0.2">
      <c r="A875" s="20"/>
      <c r="B875" s="21"/>
      <c r="C875" s="22"/>
      <c r="D875" s="23"/>
      <c r="E875" s="24"/>
      <c r="F875" s="24"/>
      <c r="G875" s="21"/>
    </row>
    <row r="876" spans="1:7" ht="12" customHeight="1" x14ac:dyDescent="0.2">
      <c r="A876" s="20"/>
      <c r="B876" s="21"/>
      <c r="C876" s="22"/>
      <c r="D876" s="23"/>
      <c r="E876" s="24"/>
      <c r="F876" s="24"/>
      <c r="G876" s="21"/>
    </row>
    <row r="877" spans="1:7" ht="12" customHeight="1" x14ac:dyDescent="0.2">
      <c r="A877" s="20"/>
      <c r="B877" s="21"/>
      <c r="C877" s="22"/>
      <c r="D877" s="23"/>
      <c r="E877" s="24"/>
      <c r="F877" s="24"/>
      <c r="G877" s="21"/>
    </row>
    <row r="878" spans="1:7" ht="12" customHeight="1" x14ac:dyDescent="0.2">
      <c r="A878" s="20"/>
      <c r="B878" s="21"/>
      <c r="C878" s="22"/>
      <c r="D878" s="23"/>
      <c r="E878" s="24"/>
      <c r="F878" s="24"/>
      <c r="G878" s="21"/>
    </row>
    <row r="879" spans="1:7" ht="12" customHeight="1" x14ac:dyDescent="0.2">
      <c r="A879" s="20"/>
      <c r="B879" s="21"/>
      <c r="C879" s="22"/>
      <c r="D879" s="23"/>
      <c r="E879" s="24"/>
      <c r="F879" s="24"/>
      <c r="G879" s="21"/>
    </row>
    <row r="880" spans="1:7" ht="12" customHeight="1" x14ac:dyDescent="0.2">
      <c r="A880" s="20"/>
      <c r="B880" s="21"/>
      <c r="C880" s="22"/>
      <c r="D880" s="23"/>
      <c r="E880" s="24"/>
      <c r="F880" s="24"/>
      <c r="G880" s="21"/>
    </row>
    <row r="881" spans="1:7" ht="12" customHeight="1" x14ac:dyDescent="0.2">
      <c r="A881" s="20"/>
      <c r="B881" s="21"/>
      <c r="C881" s="22"/>
      <c r="D881" s="23"/>
      <c r="E881" s="24"/>
      <c r="F881" s="24"/>
      <c r="G881" s="21"/>
    </row>
    <row r="882" spans="1:7" ht="12" customHeight="1" x14ac:dyDescent="0.2">
      <c r="A882" s="20"/>
      <c r="B882" s="21"/>
      <c r="C882" s="22"/>
      <c r="D882" s="23"/>
      <c r="E882" s="24"/>
      <c r="F882" s="24"/>
      <c r="G882" s="21"/>
    </row>
    <row r="883" spans="1:7" ht="12" customHeight="1" x14ac:dyDescent="0.2">
      <c r="A883" s="20"/>
      <c r="B883" s="21"/>
      <c r="C883" s="22"/>
      <c r="D883" s="23"/>
      <c r="E883" s="24"/>
      <c r="F883" s="24"/>
      <c r="G883" s="21"/>
    </row>
    <row r="884" spans="1:7" ht="12" customHeight="1" x14ac:dyDescent="0.2">
      <c r="A884" s="20"/>
      <c r="B884" s="21"/>
      <c r="C884" s="22"/>
      <c r="D884" s="23"/>
      <c r="E884" s="24"/>
      <c r="F884" s="24"/>
      <c r="G884" s="21"/>
    </row>
    <row r="885" spans="1:7" ht="12" customHeight="1" x14ac:dyDescent="0.2">
      <c r="A885" s="20"/>
      <c r="B885" s="21"/>
      <c r="C885" s="22"/>
      <c r="D885" s="23"/>
      <c r="E885" s="24"/>
      <c r="F885" s="24"/>
      <c r="G885" s="21"/>
    </row>
    <row r="886" spans="1:7" ht="12" customHeight="1" x14ac:dyDescent="0.2">
      <c r="A886" s="20"/>
      <c r="B886" s="21"/>
      <c r="C886" s="22"/>
      <c r="D886" s="23"/>
      <c r="E886" s="24"/>
      <c r="F886" s="24"/>
      <c r="G886" s="21"/>
    </row>
    <row r="887" spans="1:7" ht="12" customHeight="1" x14ac:dyDescent="0.2">
      <c r="A887" s="20"/>
      <c r="B887" s="21"/>
      <c r="C887" s="22"/>
      <c r="D887" s="23"/>
      <c r="E887" s="24"/>
      <c r="F887" s="24"/>
      <c r="G887" s="21"/>
    </row>
    <row r="888" spans="1:7" ht="12" customHeight="1" x14ac:dyDescent="0.2">
      <c r="A888" s="20"/>
      <c r="B888" s="21"/>
      <c r="C888" s="22"/>
      <c r="D888" s="23"/>
      <c r="E888" s="24"/>
      <c r="F888" s="24"/>
      <c r="G888" s="21"/>
    </row>
    <row r="889" spans="1:7" ht="12" customHeight="1" x14ac:dyDescent="0.2">
      <c r="A889" s="20"/>
      <c r="B889" s="21"/>
      <c r="C889" s="22"/>
      <c r="D889" s="23"/>
      <c r="E889" s="24"/>
      <c r="F889" s="24"/>
      <c r="G889" s="21"/>
    </row>
    <row r="890" spans="1:7" ht="12" customHeight="1" x14ac:dyDescent="0.2">
      <c r="A890" s="20"/>
      <c r="B890" s="21"/>
      <c r="C890" s="22"/>
      <c r="D890" s="23"/>
      <c r="E890" s="24"/>
      <c r="F890" s="24"/>
      <c r="G890" s="21"/>
    </row>
    <row r="891" spans="1:7" ht="12" customHeight="1" x14ac:dyDescent="0.2">
      <c r="A891" s="20"/>
      <c r="B891" s="21"/>
      <c r="C891" s="22"/>
      <c r="D891" s="23"/>
      <c r="E891" s="24"/>
      <c r="F891" s="24"/>
      <c r="G891" s="21"/>
    </row>
    <row r="892" spans="1:7" ht="12" customHeight="1" x14ac:dyDescent="0.2">
      <c r="A892" s="20"/>
      <c r="B892" s="21"/>
      <c r="C892" s="22"/>
      <c r="D892" s="23"/>
      <c r="E892" s="24"/>
      <c r="F892" s="24"/>
      <c r="G892" s="21"/>
    </row>
    <row r="893" spans="1:7" ht="12" customHeight="1" x14ac:dyDescent="0.2">
      <c r="A893" s="20"/>
      <c r="B893" s="21"/>
      <c r="C893" s="22"/>
      <c r="D893" s="23"/>
      <c r="E893" s="24"/>
      <c r="F893" s="24"/>
      <c r="G893" s="21"/>
    </row>
    <row r="894" spans="1:7" ht="12" customHeight="1" x14ac:dyDescent="0.2">
      <c r="A894" s="20"/>
      <c r="B894" s="21"/>
      <c r="C894" s="22"/>
      <c r="D894" s="23"/>
      <c r="E894" s="24"/>
      <c r="F894" s="24"/>
      <c r="G894" s="21"/>
    </row>
    <row r="895" spans="1:7" ht="12" customHeight="1" x14ac:dyDescent="0.2">
      <c r="A895" s="20"/>
      <c r="B895" s="21"/>
      <c r="C895" s="22"/>
      <c r="D895" s="23"/>
      <c r="E895" s="24"/>
      <c r="F895" s="24"/>
      <c r="G895" s="21"/>
    </row>
    <row r="896" spans="1:7" ht="12" customHeight="1" x14ac:dyDescent="0.2">
      <c r="A896" s="20"/>
      <c r="B896" s="21"/>
      <c r="C896" s="22"/>
      <c r="D896" s="23"/>
      <c r="E896" s="24"/>
      <c r="F896" s="24"/>
      <c r="G896" s="21"/>
    </row>
    <row r="897" spans="1:7" ht="12" customHeight="1" x14ac:dyDescent="0.2">
      <c r="A897" s="20"/>
      <c r="B897" s="21"/>
      <c r="C897" s="22"/>
      <c r="D897" s="23"/>
      <c r="E897" s="24"/>
      <c r="F897" s="24"/>
      <c r="G897" s="21"/>
    </row>
    <row r="898" spans="1:7" ht="12" customHeight="1" x14ac:dyDescent="0.2">
      <c r="A898" s="20"/>
      <c r="B898" s="21"/>
      <c r="C898" s="22"/>
      <c r="D898" s="23"/>
      <c r="E898" s="24"/>
      <c r="F898" s="24"/>
      <c r="G898" s="21"/>
    </row>
    <row r="899" spans="1:7" ht="12" customHeight="1" x14ac:dyDescent="0.2">
      <c r="A899" s="20"/>
      <c r="B899" s="21"/>
      <c r="C899" s="22"/>
      <c r="D899" s="23"/>
      <c r="E899" s="24"/>
      <c r="F899" s="24"/>
      <c r="G899" s="21"/>
    </row>
    <row r="900" spans="1:7" ht="12" customHeight="1" x14ac:dyDescent="0.2">
      <c r="A900" s="20"/>
      <c r="B900" s="21"/>
      <c r="C900" s="22"/>
      <c r="D900" s="23"/>
      <c r="E900" s="24"/>
      <c r="F900" s="24"/>
      <c r="G900" s="21"/>
    </row>
    <row r="901" spans="1:7" ht="12" customHeight="1" x14ac:dyDescent="0.2">
      <c r="A901" s="20"/>
      <c r="B901" s="21"/>
      <c r="C901" s="22"/>
      <c r="D901" s="23"/>
      <c r="E901" s="24"/>
      <c r="F901" s="24"/>
      <c r="G901" s="21"/>
    </row>
    <row r="902" spans="1:7" ht="12" customHeight="1" x14ac:dyDescent="0.2">
      <c r="A902" s="20"/>
      <c r="B902" s="21"/>
      <c r="C902" s="22"/>
      <c r="D902" s="23"/>
      <c r="E902" s="24"/>
      <c r="F902" s="24"/>
      <c r="G902" s="21"/>
    </row>
    <row r="903" spans="1:7" ht="12" customHeight="1" x14ac:dyDescent="0.2">
      <c r="A903" s="20"/>
      <c r="B903" s="21"/>
      <c r="C903" s="22"/>
      <c r="D903" s="23"/>
      <c r="E903" s="24"/>
      <c r="F903" s="24"/>
      <c r="G903" s="21"/>
    </row>
    <row r="904" spans="1:7" ht="12" customHeight="1" x14ac:dyDescent="0.2">
      <c r="A904" s="20"/>
      <c r="B904" s="21"/>
      <c r="C904" s="22"/>
      <c r="D904" s="23"/>
      <c r="E904" s="24"/>
      <c r="F904" s="24"/>
      <c r="G904" s="21"/>
    </row>
    <row r="905" spans="1:7" ht="12" customHeight="1" x14ac:dyDescent="0.2">
      <c r="A905" s="20"/>
      <c r="B905" s="21"/>
      <c r="C905" s="22"/>
      <c r="D905" s="23"/>
      <c r="E905" s="24"/>
      <c r="F905" s="24"/>
      <c r="G905" s="21"/>
    </row>
    <row r="906" spans="1:7" ht="12" customHeight="1" x14ac:dyDescent="0.2">
      <c r="A906" s="20"/>
      <c r="B906" s="21"/>
      <c r="C906" s="22"/>
      <c r="D906" s="23"/>
      <c r="E906" s="24"/>
      <c r="F906" s="24"/>
      <c r="G906" s="21"/>
    </row>
    <row r="907" spans="1:7" ht="12" customHeight="1" x14ac:dyDescent="0.2">
      <c r="A907" s="20"/>
      <c r="B907" s="21"/>
      <c r="C907" s="22"/>
      <c r="D907" s="23"/>
      <c r="E907" s="24"/>
      <c r="F907" s="24"/>
      <c r="G907" s="21"/>
    </row>
    <row r="908" spans="1:7" ht="12" customHeight="1" x14ac:dyDescent="0.2">
      <c r="A908" s="20"/>
      <c r="B908" s="21"/>
      <c r="C908" s="22"/>
      <c r="D908" s="23"/>
      <c r="E908" s="24"/>
      <c r="F908" s="24"/>
      <c r="G908" s="21"/>
    </row>
    <row r="909" spans="1:7" ht="12" customHeight="1" x14ac:dyDescent="0.2">
      <c r="A909" s="20"/>
      <c r="B909" s="21"/>
      <c r="C909" s="22"/>
      <c r="D909" s="23"/>
      <c r="E909" s="24"/>
      <c r="F909" s="24"/>
      <c r="G909" s="21"/>
    </row>
    <row r="910" spans="1:7" ht="12" customHeight="1" x14ac:dyDescent="0.2">
      <c r="A910" s="20"/>
      <c r="B910" s="21"/>
      <c r="C910" s="22"/>
      <c r="D910" s="23"/>
      <c r="E910" s="24"/>
      <c r="F910" s="24"/>
      <c r="G910" s="21"/>
    </row>
    <row r="911" spans="1:7" ht="12" customHeight="1" x14ac:dyDescent="0.2">
      <c r="A911" s="20"/>
      <c r="B911" s="21"/>
      <c r="C911" s="22"/>
      <c r="D911" s="23"/>
      <c r="E911" s="24"/>
      <c r="F911" s="24"/>
      <c r="G911" s="21"/>
    </row>
    <row r="912" spans="1:7" ht="12" customHeight="1" x14ac:dyDescent="0.2">
      <c r="A912" s="20"/>
      <c r="B912" s="21"/>
      <c r="C912" s="22"/>
      <c r="D912" s="23"/>
      <c r="E912" s="24"/>
      <c r="F912" s="24"/>
      <c r="G912" s="21"/>
    </row>
    <row r="913" spans="1:7" ht="12" customHeight="1" x14ac:dyDescent="0.2">
      <c r="A913" s="20"/>
      <c r="B913" s="21"/>
      <c r="C913" s="22"/>
      <c r="D913" s="23"/>
      <c r="E913" s="24"/>
      <c r="F913" s="24"/>
      <c r="G913" s="21"/>
    </row>
    <row r="914" spans="1:7" ht="12" customHeight="1" x14ac:dyDescent="0.2">
      <c r="A914" s="20"/>
      <c r="B914" s="21"/>
      <c r="C914" s="22"/>
      <c r="D914" s="23"/>
      <c r="E914" s="24"/>
      <c r="F914" s="24"/>
      <c r="G914" s="21"/>
    </row>
    <row r="915" spans="1:7" ht="12" customHeight="1" x14ac:dyDescent="0.2">
      <c r="A915" s="20"/>
      <c r="B915" s="21"/>
      <c r="C915" s="22"/>
      <c r="D915" s="23"/>
      <c r="E915" s="24"/>
      <c r="F915" s="24"/>
      <c r="G915" s="21"/>
    </row>
    <row r="916" spans="1:7" ht="12" customHeight="1" x14ac:dyDescent="0.2">
      <c r="A916" s="20"/>
      <c r="B916" s="21"/>
      <c r="C916" s="22"/>
      <c r="D916" s="23"/>
      <c r="E916" s="24"/>
      <c r="F916" s="24"/>
      <c r="G916" s="21"/>
    </row>
    <row r="917" spans="1:7" ht="12" customHeight="1" x14ac:dyDescent="0.2">
      <c r="A917" s="20"/>
      <c r="B917" s="21"/>
      <c r="C917" s="22"/>
      <c r="D917" s="23"/>
      <c r="E917" s="24"/>
      <c r="F917" s="24"/>
      <c r="G917" s="21"/>
    </row>
    <row r="918" spans="1:7" ht="12" customHeight="1" x14ac:dyDescent="0.2">
      <c r="A918" s="20"/>
      <c r="B918" s="21"/>
      <c r="C918" s="22"/>
      <c r="D918" s="23"/>
      <c r="E918" s="24"/>
      <c r="F918" s="24"/>
      <c r="G918" s="21"/>
    </row>
    <row r="919" spans="1:7" ht="12" customHeight="1" x14ac:dyDescent="0.2">
      <c r="A919" s="20"/>
      <c r="B919" s="21"/>
      <c r="C919" s="22"/>
      <c r="D919" s="23"/>
      <c r="E919" s="24"/>
      <c r="F919" s="24"/>
      <c r="G919" s="21"/>
    </row>
    <row r="920" spans="1:7" ht="12" customHeight="1" x14ac:dyDescent="0.2">
      <c r="A920" s="20"/>
      <c r="B920" s="21"/>
      <c r="C920" s="22"/>
      <c r="D920" s="23"/>
      <c r="E920" s="24"/>
      <c r="F920" s="24"/>
      <c r="G920" s="21"/>
    </row>
    <row r="921" spans="1:7" ht="12" customHeight="1" x14ac:dyDescent="0.2">
      <c r="A921" s="20"/>
      <c r="B921" s="21"/>
      <c r="C921" s="22"/>
      <c r="D921" s="23"/>
      <c r="E921" s="24"/>
      <c r="F921" s="24"/>
      <c r="G921" s="21"/>
    </row>
    <row r="922" spans="1:7" ht="12" customHeight="1" x14ac:dyDescent="0.2">
      <c r="A922" s="20"/>
      <c r="B922" s="21"/>
      <c r="C922" s="22"/>
      <c r="D922" s="23"/>
      <c r="E922" s="24"/>
      <c r="F922" s="24"/>
      <c r="G922" s="21"/>
    </row>
    <row r="923" spans="1:7" ht="12" customHeight="1" x14ac:dyDescent="0.2">
      <c r="A923" s="20"/>
      <c r="B923" s="21"/>
      <c r="C923" s="22"/>
      <c r="D923" s="23"/>
      <c r="E923" s="24"/>
      <c r="F923" s="24"/>
      <c r="G923" s="21"/>
    </row>
    <row r="924" spans="1:7" ht="12" customHeight="1" x14ac:dyDescent="0.2">
      <c r="A924" s="20"/>
      <c r="B924" s="21"/>
      <c r="C924" s="22"/>
      <c r="D924" s="23"/>
      <c r="E924" s="24"/>
      <c r="F924" s="24"/>
      <c r="G924" s="21"/>
    </row>
    <row r="925" spans="1:7" ht="12" customHeight="1" x14ac:dyDescent="0.2">
      <c r="A925" s="20"/>
      <c r="B925" s="21"/>
      <c r="C925" s="22"/>
      <c r="D925" s="23"/>
      <c r="E925" s="24"/>
      <c r="F925" s="24"/>
      <c r="G925" s="21"/>
    </row>
    <row r="926" spans="1:7" ht="12" customHeight="1" x14ac:dyDescent="0.2">
      <c r="A926" s="20"/>
      <c r="B926" s="21"/>
      <c r="C926" s="22"/>
      <c r="D926" s="23"/>
      <c r="E926" s="24"/>
      <c r="F926" s="24"/>
      <c r="G926" s="21"/>
    </row>
    <row r="927" spans="1:7" ht="12" customHeight="1" x14ac:dyDescent="0.2">
      <c r="A927" s="20"/>
      <c r="B927" s="21"/>
      <c r="C927" s="22"/>
      <c r="D927" s="23"/>
      <c r="E927" s="24"/>
      <c r="F927" s="24"/>
      <c r="G927" s="21"/>
    </row>
    <row r="928" spans="1:7" ht="12" customHeight="1" x14ac:dyDescent="0.2">
      <c r="A928" s="20"/>
      <c r="B928" s="21"/>
      <c r="C928" s="22"/>
      <c r="D928" s="23"/>
      <c r="E928" s="24"/>
      <c r="F928" s="24"/>
      <c r="G928" s="21"/>
    </row>
    <row r="929" spans="1:7" ht="12" customHeight="1" x14ac:dyDescent="0.2">
      <c r="A929" s="20"/>
      <c r="B929" s="21"/>
      <c r="C929" s="22"/>
      <c r="D929" s="23"/>
      <c r="E929" s="24"/>
      <c r="F929" s="24"/>
      <c r="G929" s="21"/>
    </row>
    <row r="930" spans="1:7" ht="12" customHeight="1" x14ac:dyDescent="0.2">
      <c r="A930" s="20"/>
      <c r="B930" s="21"/>
      <c r="C930" s="22"/>
      <c r="D930" s="23"/>
      <c r="E930" s="24"/>
      <c r="F930" s="24"/>
      <c r="G930" s="21"/>
    </row>
    <row r="931" spans="1:7" ht="12" customHeight="1" x14ac:dyDescent="0.2">
      <c r="A931" s="20"/>
      <c r="B931" s="21"/>
      <c r="C931" s="22"/>
      <c r="D931" s="23"/>
      <c r="E931" s="24"/>
      <c r="F931" s="24"/>
      <c r="G931" s="21"/>
    </row>
    <row r="932" spans="1:7" ht="12" customHeight="1" x14ac:dyDescent="0.2">
      <c r="A932" s="20"/>
      <c r="B932" s="21"/>
      <c r="C932" s="22"/>
      <c r="D932" s="23"/>
      <c r="E932" s="24"/>
      <c r="F932" s="24"/>
      <c r="G932" s="21"/>
    </row>
    <row r="933" spans="1:7" ht="12" customHeight="1" x14ac:dyDescent="0.2">
      <c r="A933" s="20"/>
      <c r="B933" s="21"/>
      <c r="C933" s="22"/>
      <c r="D933" s="23"/>
      <c r="E933" s="24"/>
      <c r="F933" s="24"/>
      <c r="G933" s="21"/>
    </row>
    <row r="934" spans="1:7" ht="12" customHeight="1" x14ac:dyDescent="0.2">
      <c r="A934" s="20"/>
      <c r="B934" s="21"/>
      <c r="C934" s="22"/>
      <c r="D934" s="23"/>
      <c r="E934" s="24"/>
      <c r="F934" s="24"/>
      <c r="G934" s="21"/>
    </row>
    <row r="935" spans="1:7" ht="12" customHeight="1" x14ac:dyDescent="0.2">
      <c r="A935" s="20"/>
      <c r="B935" s="21"/>
      <c r="C935" s="22"/>
      <c r="D935" s="23"/>
      <c r="E935" s="24"/>
      <c r="F935" s="24"/>
      <c r="G935" s="21"/>
    </row>
    <row r="936" spans="1:7" ht="12" customHeight="1" x14ac:dyDescent="0.2">
      <c r="A936" s="20"/>
      <c r="B936" s="21"/>
      <c r="C936" s="22"/>
      <c r="D936" s="23"/>
      <c r="E936" s="24"/>
      <c r="F936" s="24"/>
      <c r="G936" s="21"/>
    </row>
    <row r="937" spans="1:7" ht="12" customHeight="1" x14ac:dyDescent="0.2">
      <c r="A937" s="20"/>
      <c r="B937" s="21"/>
      <c r="C937" s="22"/>
      <c r="D937" s="23"/>
      <c r="E937" s="24"/>
      <c r="F937" s="24"/>
      <c r="G937" s="21"/>
    </row>
    <row r="938" spans="1:7" ht="12" customHeight="1" x14ac:dyDescent="0.2">
      <c r="A938" s="20"/>
      <c r="B938" s="21"/>
      <c r="C938" s="22"/>
      <c r="D938" s="23"/>
      <c r="E938" s="24"/>
      <c r="F938" s="24"/>
      <c r="G938" s="21"/>
    </row>
    <row r="939" spans="1:7" ht="12" customHeight="1" x14ac:dyDescent="0.2">
      <c r="A939" s="20"/>
      <c r="B939" s="21"/>
      <c r="C939" s="22"/>
      <c r="D939" s="23"/>
      <c r="E939" s="24"/>
      <c r="F939" s="24"/>
      <c r="G939" s="21"/>
    </row>
    <row r="940" spans="1:7" ht="12" customHeight="1" x14ac:dyDescent="0.2">
      <c r="A940" s="20"/>
      <c r="B940" s="21"/>
      <c r="C940" s="22"/>
      <c r="D940" s="23"/>
      <c r="E940" s="24"/>
      <c r="F940" s="24"/>
      <c r="G940" s="21"/>
    </row>
    <row r="941" spans="1:7" ht="12" customHeight="1" x14ac:dyDescent="0.2">
      <c r="A941" s="20"/>
      <c r="B941" s="21"/>
      <c r="C941" s="22"/>
      <c r="D941" s="23"/>
      <c r="E941" s="24"/>
      <c r="F941" s="24"/>
      <c r="G941" s="21"/>
    </row>
    <row r="942" spans="1:7" ht="12" customHeight="1" x14ac:dyDescent="0.2">
      <c r="A942" s="20"/>
      <c r="B942" s="21"/>
      <c r="C942" s="22"/>
      <c r="D942" s="23"/>
      <c r="E942" s="24"/>
      <c r="F942" s="24"/>
      <c r="G942" s="21"/>
    </row>
    <row r="943" spans="1:7" ht="12" customHeight="1" x14ac:dyDescent="0.2">
      <c r="A943" s="20"/>
      <c r="B943" s="21"/>
      <c r="C943" s="22"/>
      <c r="D943" s="23"/>
      <c r="E943" s="24"/>
      <c r="F943" s="24"/>
      <c r="G943" s="21"/>
    </row>
    <row r="944" spans="1:7" ht="12" customHeight="1" x14ac:dyDescent="0.2">
      <c r="A944" s="20"/>
      <c r="B944" s="21"/>
      <c r="C944" s="22"/>
      <c r="D944" s="23"/>
      <c r="E944" s="24"/>
      <c r="F944" s="24"/>
      <c r="G944" s="21"/>
    </row>
    <row r="945" spans="1:7" ht="12" customHeight="1" x14ac:dyDescent="0.2">
      <c r="A945" s="20"/>
      <c r="B945" s="21"/>
      <c r="C945" s="22"/>
      <c r="D945" s="23"/>
      <c r="E945" s="24"/>
      <c r="F945" s="24"/>
      <c r="G945" s="21"/>
    </row>
    <row r="946" spans="1:7" ht="12" customHeight="1" x14ac:dyDescent="0.2">
      <c r="A946" s="20"/>
      <c r="B946" s="21"/>
      <c r="C946" s="22"/>
      <c r="D946" s="23"/>
      <c r="E946" s="24"/>
      <c r="F946" s="24"/>
      <c r="G946" s="21"/>
    </row>
    <row r="947" spans="1:7" ht="12" customHeight="1" x14ac:dyDescent="0.2">
      <c r="A947" s="20"/>
      <c r="B947" s="21"/>
      <c r="C947" s="22"/>
      <c r="D947" s="23"/>
      <c r="E947" s="24"/>
      <c r="F947" s="24"/>
      <c r="G947" s="21"/>
    </row>
    <row r="948" spans="1:7" ht="12" customHeight="1" x14ac:dyDescent="0.2">
      <c r="A948" s="20"/>
      <c r="B948" s="21"/>
      <c r="C948" s="22"/>
      <c r="D948" s="23"/>
      <c r="E948" s="24"/>
      <c r="F948" s="24"/>
      <c r="G948" s="21"/>
    </row>
    <row r="949" spans="1:7" ht="12" customHeight="1" x14ac:dyDescent="0.2">
      <c r="A949" s="20"/>
      <c r="B949" s="21"/>
      <c r="C949" s="22"/>
      <c r="D949" s="23"/>
      <c r="E949" s="24"/>
      <c r="F949" s="24"/>
      <c r="G949" s="21"/>
    </row>
    <row r="950" spans="1:7" ht="12" customHeight="1" x14ac:dyDescent="0.2">
      <c r="A950" s="20"/>
      <c r="B950" s="21"/>
      <c r="C950" s="22"/>
      <c r="D950" s="23"/>
      <c r="E950" s="24"/>
      <c r="F950" s="24"/>
      <c r="G950" s="21"/>
    </row>
    <row r="951" spans="1:7" ht="12" customHeight="1" x14ac:dyDescent="0.2">
      <c r="A951" s="20"/>
      <c r="B951" s="21"/>
      <c r="C951" s="22"/>
      <c r="D951" s="23"/>
      <c r="E951" s="24"/>
      <c r="F951" s="24"/>
      <c r="G951" s="21"/>
    </row>
    <row r="952" spans="1:7" ht="12" customHeight="1" x14ac:dyDescent="0.2">
      <c r="A952" s="20"/>
      <c r="B952" s="21"/>
      <c r="C952" s="22"/>
      <c r="D952" s="23"/>
      <c r="E952" s="24"/>
      <c r="F952" s="24"/>
      <c r="G952" s="21"/>
    </row>
    <row r="953" spans="1:7" ht="12" customHeight="1" x14ac:dyDescent="0.2">
      <c r="A953" s="20"/>
      <c r="B953" s="21"/>
      <c r="C953" s="22"/>
      <c r="D953" s="23"/>
      <c r="E953" s="24"/>
      <c r="F953" s="24"/>
      <c r="G953" s="21"/>
    </row>
    <row r="954" spans="1:7" ht="12" customHeight="1" x14ac:dyDescent="0.2">
      <c r="A954" s="20"/>
      <c r="B954" s="21"/>
      <c r="C954" s="22"/>
      <c r="D954" s="23"/>
      <c r="E954" s="24"/>
      <c r="F954" s="24"/>
      <c r="G954" s="21"/>
    </row>
    <row r="955" spans="1:7" ht="12" customHeight="1" x14ac:dyDescent="0.2">
      <c r="A955" s="20"/>
      <c r="B955" s="21"/>
      <c r="C955" s="22"/>
      <c r="D955" s="23"/>
      <c r="E955" s="24"/>
      <c r="F955" s="24"/>
      <c r="G955" s="21"/>
    </row>
    <row r="956" spans="1:7" ht="12" customHeight="1" x14ac:dyDescent="0.2">
      <c r="A956" s="20"/>
      <c r="B956" s="21"/>
      <c r="C956" s="22"/>
      <c r="D956" s="23"/>
      <c r="E956" s="24"/>
      <c r="F956" s="24"/>
      <c r="G956" s="21"/>
    </row>
    <row r="957" spans="1:7" ht="12" customHeight="1" x14ac:dyDescent="0.2">
      <c r="A957" s="20"/>
      <c r="B957" s="21"/>
      <c r="C957" s="22"/>
      <c r="D957" s="23"/>
      <c r="E957" s="24"/>
      <c r="F957" s="24"/>
      <c r="G957" s="21"/>
    </row>
    <row r="958" spans="1:7" ht="12" customHeight="1" x14ac:dyDescent="0.2">
      <c r="A958" s="20"/>
      <c r="B958" s="21"/>
      <c r="C958" s="22"/>
      <c r="D958" s="23"/>
      <c r="E958" s="24"/>
      <c r="F958" s="24"/>
      <c r="G958" s="21"/>
    </row>
    <row r="959" spans="1:7" ht="12" customHeight="1" x14ac:dyDescent="0.2">
      <c r="A959" s="20"/>
      <c r="B959" s="21"/>
      <c r="C959" s="22"/>
      <c r="D959" s="23"/>
      <c r="E959" s="24"/>
      <c r="F959" s="24"/>
      <c r="G959" s="21"/>
    </row>
    <row r="960" spans="1:7" ht="12" customHeight="1" x14ac:dyDescent="0.2">
      <c r="A960" s="20"/>
      <c r="B960" s="21"/>
      <c r="C960" s="22"/>
      <c r="D960" s="23"/>
      <c r="E960" s="24"/>
      <c r="F960" s="24"/>
      <c r="G960" s="21"/>
    </row>
    <row r="961" spans="1:7" ht="12" customHeight="1" x14ac:dyDescent="0.2">
      <c r="A961" s="20"/>
      <c r="B961" s="21"/>
      <c r="C961" s="22"/>
      <c r="D961" s="23"/>
      <c r="E961" s="24"/>
      <c r="F961" s="24"/>
      <c r="G961" s="21"/>
    </row>
    <row r="962" spans="1:7" ht="12" customHeight="1" x14ac:dyDescent="0.2">
      <c r="A962" s="20"/>
      <c r="B962" s="21"/>
      <c r="C962" s="22"/>
      <c r="D962" s="23"/>
      <c r="E962" s="24"/>
      <c r="F962" s="24"/>
      <c r="G962" s="21"/>
    </row>
    <row r="963" spans="1:7" ht="12" customHeight="1" x14ac:dyDescent="0.2">
      <c r="A963" s="20"/>
      <c r="B963" s="21"/>
      <c r="C963" s="22"/>
      <c r="D963" s="23"/>
      <c r="E963" s="24"/>
      <c r="F963" s="24"/>
      <c r="G963" s="21"/>
    </row>
    <row r="964" spans="1:7" ht="12" customHeight="1" x14ac:dyDescent="0.2">
      <c r="A964" s="20"/>
      <c r="B964" s="21"/>
      <c r="C964" s="22"/>
      <c r="D964" s="23"/>
      <c r="E964" s="24"/>
      <c r="F964" s="24"/>
      <c r="G964" s="21"/>
    </row>
    <row r="965" spans="1:7" ht="12" customHeight="1" x14ac:dyDescent="0.2">
      <c r="A965" s="20"/>
      <c r="B965" s="21"/>
      <c r="C965" s="22"/>
      <c r="D965" s="23"/>
      <c r="E965" s="24"/>
      <c r="F965" s="24"/>
      <c r="G965" s="21"/>
    </row>
    <row r="966" spans="1:7" ht="12" customHeight="1" x14ac:dyDescent="0.2">
      <c r="A966" s="20"/>
      <c r="B966" s="21"/>
      <c r="C966" s="22"/>
      <c r="D966" s="23"/>
      <c r="E966" s="24"/>
      <c r="F966" s="24"/>
      <c r="G966" s="21"/>
    </row>
    <row r="967" spans="1:7" ht="12" customHeight="1" x14ac:dyDescent="0.2">
      <c r="A967" s="20"/>
      <c r="B967" s="21"/>
      <c r="C967" s="22"/>
      <c r="D967" s="23"/>
      <c r="E967" s="24"/>
      <c r="F967" s="24"/>
      <c r="G967" s="21"/>
    </row>
    <row r="968" spans="1:7" ht="12" customHeight="1" x14ac:dyDescent="0.2">
      <c r="A968" s="20"/>
      <c r="B968" s="21"/>
      <c r="C968" s="22"/>
      <c r="D968" s="23"/>
      <c r="E968" s="24"/>
      <c r="F968" s="24"/>
      <c r="G968" s="21"/>
    </row>
    <row r="969" spans="1:7" ht="12" customHeight="1" x14ac:dyDescent="0.2">
      <c r="A969" s="20"/>
      <c r="B969" s="21"/>
      <c r="C969" s="22"/>
      <c r="D969" s="23"/>
      <c r="E969" s="24"/>
      <c r="F969" s="24"/>
      <c r="G969" s="21"/>
    </row>
    <row r="970" spans="1:7" ht="12" customHeight="1" x14ac:dyDescent="0.2">
      <c r="A970" s="20"/>
      <c r="B970" s="21"/>
      <c r="C970" s="22"/>
      <c r="D970" s="23"/>
      <c r="E970" s="24"/>
      <c r="F970" s="24"/>
      <c r="G970" s="21"/>
    </row>
    <row r="971" spans="1:7" ht="12" customHeight="1" x14ac:dyDescent="0.2">
      <c r="A971" s="20"/>
      <c r="B971" s="21"/>
      <c r="C971" s="22"/>
      <c r="D971" s="23"/>
      <c r="E971" s="24"/>
      <c r="F971" s="24"/>
      <c r="G971" s="21"/>
    </row>
    <row r="972" spans="1:7" ht="12" customHeight="1" x14ac:dyDescent="0.2">
      <c r="A972" s="20"/>
      <c r="B972" s="21"/>
      <c r="C972" s="22"/>
      <c r="D972" s="23"/>
      <c r="E972" s="24"/>
      <c r="F972" s="24"/>
      <c r="G972" s="21"/>
    </row>
    <row r="973" spans="1:7" ht="12" customHeight="1" x14ac:dyDescent="0.2">
      <c r="A973" s="20"/>
      <c r="B973" s="21"/>
      <c r="C973" s="22"/>
      <c r="D973" s="23"/>
      <c r="E973" s="24"/>
      <c r="F973" s="24"/>
      <c r="G973" s="21"/>
    </row>
    <row r="974" spans="1:7" ht="12" customHeight="1" x14ac:dyDescent="0.2">
      <c r="A974" s="20"/>
      <c r="B974" s="21"/>
      <c r="C974" s="22"/>
      <c r="D974" s="23"/>
      <c r="E974" s="24"/>
      <c r="F974" s="24"/>
      <c r="G974" s="21"/>
    </row>
    <row r="975" spans="1:7" ht="12" customHeight="1" x14ac:dyDescent="0.2">
      <c r="A975" s="20"/>
      <c r="B975" s="21"/>
      <c r="C975" s="22"/>
      <c r="D975" s="23"/>
      <c r="E975" s="24"/>
      <c r="F975" s="24"/>
      <c r="G975" s="21"/>
    </row>
    <row r="976" spans="1:7" ht="12" customHeight="1" x14ac:dyDescent="0.2">
      <c r="A976" s="20"/>
      <c r="B976" s="21"/>
      <c r="C976" s="22"/>
      <c r="D976" s="23"/>
      <c r="E976" s="24"/>
      <c r="F976" s="24"/>
      <c r="G976" s="21"/>
    </row>
    <row r="977" spans="1:7" ht="12" customHeight="1" x14ac:dyDescent="0.2">
      <c r="A977" s="20"/>
      <c r="B977" s="21"/>
      <c r="C977" s="22"/>
      <c r="D977" s="23"/>
      <c r="E977" s="24"/>
      <c r="F977" s="24"/>
      <c r="G977" s="21"/>
    </row>
    <row r="978" spans="1:7" ht="12" customHeight="1" x14ac:dyDescent="0.2">
      <c r="A978" s="20"/>
      <c r="B978" s="21"/>
      <c r="C978" s="22"/>
      <c r="D978" s="23"/>
      <c r="E978" s="24"/>
      <c r="F978" s="24"/>
      <c r="G978" s="21"/>
    </row>
    <row r="979" spans="1:7" ht="12" customHeight="1" x14ac:dyDescent="0.2">
      <c r="A979" s="20"/>
      <c r="B979" s="21"/>
      <c r="C979" s="22"/>
      <c r="D979" s="23"/>
      <c r="E979" s="24"/>
      <c r="F979" s="24"/>
      <c r="G979" s="21"/>
    </row>
    <row r="980" spans="1:7" ht="12" customHeight="1" x14ac:dyDescent="0.2">
      <c r="A980" s="20"/>
      <c r="B980" s="21"/>
      <c r="C980" s="22"/>
      <c r="D980" s="23"/>
      <c r="E980" s="24"/>
      <c r="F980" s="24"/>
      <c r="G980" s="21"/>
    </row>
    <row r="981" spans="1:7" ht="12" customHeight="1" x14ac:dyDescent="0.2">
      <c r="A981" s="20"/>
      <c r="B981" s="21"/>
      <c r="C981" s="22"/>
      <c r="D981" s="23"/>
      <c r="E981" s="24"/>
      <c r="F981" s="24"/>
      <c r="G981" s="21"/>
    </row>
    <row r="982" spans="1:7" ht="12" customHeight="1" x14ac:dyDescent="0.2">
      <c r="A982" s="20"/>
      <c r="B982" s="21"/>
      <c r="C982" s="22"/>
      <c r="D982" s="23"/>
      <c r="E982" s="24"/>
      <c r="F982" s="24"/>
      <c r="G982" s="21"/>
    </row>
    <row r="983" spans="1:7" ht="12" customHeight="1" x14ac:dyDescent="0.2">
      <c r="A983" s="20"/>
      <c r="B983" s="21"/>
      <c r="C983" s="22"/>
      <c r="D983" s="23"/>
      <c r="E983" s="24"/>
      <c r="F983" s="24"/>
      <c r="G983" s="21"/>
    </row>
    <row r="984" spans="1:7" ht="12" customHeight="1" x14ac:dyDescent="0.2">
      <c r="A984" s="20"/>
      <c r="B984" s="21"/>
      <c r="C984" s="22"/>
      <c r="D984" s="23"/>
      <c r="E984" s="24"/>
      <c r="F984" s="24"/>
      <c r="G984" s="21"/>
    </row>
    <row r="985" spans="1:7" ht="12" customHeight="1" x14ac:dyDescent="0.2">
      <c r="A985" s="20"/>
      <c r="B985" s="21"/>
      <c r="C985" s="22"/>
      <c r="D985" s="23"/>
      <c r="E985" s="24"/>
      <c r="F985" s="24"/>
      <c r="G985" s="21"/>
    </row>
    <row r="986" spans="1:7" ht="12" customHeight="1" x14ac:dyDescent="0.2">
      <c r="A986" s="20"/>
      <c r="B986" s="21"/>
      <c r="C986" s="22"/>
      <c r="D986" s="23"/>
      <c r="E986" s="24"/>
      <c r="F986" s="24"/>
      <c r="G986" s="21"/>
    </row>
    <row r="987" spans="1:7" ht="12" customHeight="1" x14ac:dyDescent="0.2">
      <c r="A987" s="20"/>
      <c r="B987" s="21"/>
      <c r="C987" s="22"/>
      <c r="D987" s="23"/>
      <c r="E987" s="24"/>
      <c r="F987" s="24"/>
      <c r="G987" s="21"/>
    </row>
    <row r="988" spans="1:7" ht="12" customHeight="1" x14ac:dyDescent="0.2">
      <c r="A988" s="20"/>
      <c r="B988" s="21"/>
      <c r="C988" s="22"/>
      <c r="D988" s="23"/>
      <c r="E988" s="24"/>
      <c r="F988" s="24"/>
      <c r="G988" s="21"/>
    </row>
    <row r="989" spans="1:7" ht="12" customHeight="1" x14ac:dyDescent="0.2">
      <c r="A989" s="20"/>
      <c r="B989" s="21"/>
      <c r="C989" s="22"/>
      <c r="D989" s="23"/>
      <c r="E989" s="24"/>
      <c r="F989" s="24"/>
      <c r="G989" s="21"/>
    </row>
    <row r="990" spans="1:7" ht="12" customHeight="1" x14ac:dyDescent="0.2">
      <c r="A990" s="20"/>
      <c r="B990" s="21"/>
      <c r="C990" s="22"/>
      <c r="D990" s="23"/>
      <c r="E990" s="24"/>
      <c r="F990" s="24"/>
      <c r="G990" s="21"/>
    </row>
    <row r="991" spans="1:7" ht="12" customHeight="1" x14ac:dyDescent="0.2">
      <c r="A991" s="20"/>
      <c r="B991" s="21"/>
      <c r="C991" s="22"/>
      <c r="D991" s="23"/>
      <c r="E991" s="24"/>
      <c r="F991" s="24"/>
      <c r="G991" s="21"/>
    </row>
    <row r="992" spans="1:7" ht="12" customHeight="1" x14ac:dyDescent="0.2">
      <c r="A992" s="20"/>
      <c r="B992" s="21"/>
      <c r="C992" s="22"/>
      <c r="D992" s="23"/>
      <c r="E992" s="24"/>
      <c r="F992" s="24"/>
      <c r="G992" s="21"/>
    </row>
    <row r="993" spans="1:7" ht="12" customHeight="1" x14ac:dyDescent="0.2">
      <c r="A993" s="20"/>
      <c r="B993" s="21"/>
      <c r="C993" s="22"/>
      <c r="D993" s="23"/>
      <c r="E993" s="24"/>
      <c r="F993" s="24"/>
      <c r="G993" s="21"/>
    </row>
    <row r="994" spans="1:7" ht="12" customHeight="1" x14ac:dyDescent="0.2">
      <c r="A994" s="20"/>
      <c r="B994" s="21"/>
      <c r="C994" s="22"/>
      <c r="D994" s="23"/>
      <c r="E994" s="24"/>
      <c r="F994" s="24"/>
      <c r="G994" s="21"/>
    </row>
    <row r="995" spans="1:7" ht="12" customHeight="1" x14ac:dyDescent="0.2">
      <c r="A995" s="20"/>
      <c r="B995" s="21"/>
      <c r="C995" s="22"/>
      <c r="D995" s="23"/>
      <c r="E995" s="24"/>
      <c r="F995" s="24"/>
      <c r="G995" s="21"/>
    </row>
    <row r="996" spans="1:7" ht="12" customHeight="1" x14ac:dyDescent="0.2">
      <c r="A996" s="20"/>
      <c r="B996" s="21"/>
      <c r="C996" s="22"/>
      <c r="D996" s="23"/>
      <c r="E996" s="24"/>
      <c r="F996" s="24"/>
      <c r="G996" s="21"/>
    </row>
    <row r="997" spans="1:7" ht="12" customHeight="1" x14ac:dyDescent="0.2">
      <c r="A997" s="20"/>
      <c r="B997" s="21"/>
      <c r="C997" s="22"/>
      <c r="D997" s="23"/>
      <c r="E997" s="24"/>
      <c r="F997" s="24"/>
      <c r="G997" s="21"/>
    </row>
    <row r="998" spans="1:7" ht="12" customHeight="1" x14ac:dyDescent="0.2">
      <c r="A998" s="20"/>
      <c r="B998" s="21"/>
      <c r="C998" s="22"/>
      <c r="D998" s="23"/>
      <c r="E998" s="24"/>
      <c r="F998" s="24"/>
      <c r="G998" s="21"/>
    </row>
    <row r="999" spans="1:7" ht="12" customHeight="1" x14ac:dyDescent="0.2">
      <c r="A999" s="20"/>
      <c r="B999" s="21"/>
      <c r="C999" s="22"/>
      <c r="D999" s="23"/>
      <c r="E999" s="24"/>
      <c r="F999" s="24"/>
      <c r="G999" s="21"/>
    </row>
    <row r="1000" spans="1:7" ht="12" customHeight="1" x14ac:dyDescent="0.2">
      <c r="A1000" s="20"/>
      <c r="B1000" s="21"/>
      <c r="C1000" s="22"/>
      <c r="D1000" s="23"/>
      <c r="E1000" s="24"/>
      <c r="F1000" s="24"/>
      <c r="G1000" s="21"/>
    </row>
    <row r="1001" spans="1:7" ht="12" customHeight="1" x14ac:dyDescent="0.2">
      <c r="A1001" s="20"/>
      <c r="B1001" s="21"/>
      <c r="C1001" s="22"/>
      <c r="D1001" s="23"/>
      <c r="E1001" s="24"/>
      <c r="F1001" s="24"/>
      <c r="G1001" s="21"/>
    </row>
    <row r="1002" spans="1:7" ht="12" customHeight="1" x14ac:dyDescent="0.2">
      <c r="A1002" s="20"/>
      <c r="B1002" s="21"/>
      <c r="C1002" s="22"/>
      <c r="D1002" s="23"/>
      <c r="E1002" s="24"/>
      <c r="F1002" s="24"/>
      <c r="G1002" s="21"/>
    </row>
    <row r="1003" spans="1:7" ht="12" customHeight="1" x14ac:dyDescent="0.2">
      <c r="A1003" s="20"/>
      <c r="B1003" s="21"/>
      <c r="C1003" s="22"/>
      <c r="D1003" s="23"/>
      <c r="E1003" s="24"/>
      <c r="F1003" s="24"/>
      <c r="G1003" s="21"/>
    </row>
    <row r="1004" spans="1:7" ht="12" customHeight="1" x14ac:dyDescent="0.2">
      <c r="A1004" s="20"/>
      <c r="B1004" s="21"/>
      <c r="C1004" s="22"/>
      <c r="D1004" s="23"/>
      <c r="E1004" s="24"/>
      <c r="F1004" s="24"/>
      <c r="G1004" s="21"/>
    </row>
    <row r="1005" spans="1:7" ht="12" customHeight="1" x14ac:dyDescent="0.2">
      <c r="A1005" s="20"/>
      <c r="B1005" s="21"/>
      <c r="C1005" s="22"/>
      <c r="D1005" s="23"/>
      <c r="E1005" s="24"/>
      <c r="F1005" s="24"/>
      <c r="G1005" s="21"/>
    </row>
    <row r="1006" spans="1:7" ht="12" customHeight="1" x14ac:dyDescent="0.2">
      <c r="A1006" s="20"/>
      <c r="B1006" s="21"/>
      <c r="C1006" s="22"/>
      <c r="D1006" s="23"/>
      <c r="E1006" s="24"/>
      <c r="F1006" s="24"/>
      <c r="G1006" s="21"/>
    </row>
    <row r="1007" spans="1:7" ht="12" customHeight="1" x14ac:dyDescent="0.2">
      <c r="A1007" s="20"/>
      <c r="B1007" s="21"/>
      <c r="C1007" s="22"/>
      <c r="D1007" s="23"/>
      <c r="E1007" s="24"/>
      <c r="F1007" s="24"/>
      <c r="G1007" s="21"/>
    </row>
    <row r="1008" spans="1:7" ht="12" customHeight="1" x14ac:dyDescent="0.2">
      <c r="A1008" s="20"/>
      <c r="B1008" s="21"/>
      <c r="C1008" s="22"/>
      <c r="D1008" s="23"/>
      <c r="E1008" s="24"/>
      <c r="F1008" s="24"/>
      <c r="G1008" s="21"/>
    </row>
    <row r="1009" spans="1:7" ht="12" customHeight="1" x14ac:dyDescent="0.2">
      <c r="A1009" s="20"/>
      <c r="B1009" s="21"/>
      <c r="C1009" s="22"/>
      <c r="D1009" s="23"/>
      <c r="E1009" s="24"/>
      <c r="F1009" s="24"/>
      <c r="G1009" s="21"/>
    </row>
    <row r="1010" spans="1:7" ht="12" customHeight="1" x14ac:dyDescent="0.2">
      <c r="A1010" s="20"/>
      <c r="B1010" s="21"/>
      <c r="C1010" s="22"/>
      <c r="D1010" s="23"/>
      <c r="E1010" s="24"/>
      <c r="F1010" s="24"/>
      <c r="G1010" s="21"/>
    </row>
    <row r="1011" spans="1:7" ht="12" customHeight="1" x14ac:dyDescent="0.2">
      <c r="A1011" s="20"/>
      <c r="B1011" s="21"/>
      <c r="C1011" s="22"/>
      <c r="D1011" s="23"/>
      <c r="E1011" s="24"/>
      <c r="F1011" s="24"/>
      <c r="G1011" s="21"/>
    </row>
    <row r="1012" spans="1:7" ht="12" customHeight="1" x14ac:dyDescent="0.2">
      <c r="A1012" s="20"/>
      <c r="B1012" s="21"/>
      <c r="C1012" s="22"/>
      <c r="D1012" s="23"/>
      <c r="E1012" s="24"/>
      <c r="F1012" s="24"/>
      <c r="G1012" s="21"/>
    </row>
    <row r="1013" spans="1:7" ht="12" customHeight="1" x14ac:dyDescent="0.2">
      <c r="A1013" s="20"/>
      <c r="B1013" s="21"/>
      <c r="C1013" s="22"/>
      <c r="D1013" s="23"/>
      <c r="E1013" s="24"/>
      <c r="F1013" s="24"/>
      <c r="G1013" s="21"/>
    </row>
    <row r="1014" spans="1:7" ht="12" customHeight="1" x14ac:dyDescent="0.2">
      <c r="A1014" s="20"/>
      <c r="B1014" s="21"/>
      <c r="C1014" s="22"/>
      <c r="D1014" s="23"/>
      <c r="E1014" s="24"/>
      <c r="F1014" s="24"/>
      <c r="G1014" s="21"/>
    </row>
    <row r="1015" spans="1:7" ht="12" customHeight="1" x14ac:dyDescent="0.2">
      <c r="A1015" s="20"/>
      <c r="B1015" s="21"/>
      <c r="C1015" s="22"/>
      <c r="D1015" s="23"/>
      <c r="E1015" s="24"/>
      <c r="F1015" s="24"/>
      <c r="G1015" s="21"/>
    </row>
    <row r="1016" spans="1:7" ht="12" customHeight="1" x14ac:dyDescent="0.2">
      <c r="A1016" s="20"/>
      <c r="B1016" s="21"/>
      <c r="C1016" s="22"/>
      <c r="D1016" s="23"/>
      <c r="E1016" s="24"/>
      <c r="F1016" s="24"/>
      <c r="G1016" s="21"/>
    </row>
    <row r="1017" spans="1:7" ht="12" customHeight="1" x14ac:dyDescent="0.2">
      <c r="A1017" s="20"/>
      <c r="B1017" s="21"/>
      <c r="C1017" s="22"/>
      <c r="D1017" s="23"/>
      <c r="E1017" s="24"/>
      <c r="F1017" s="24"/>
      <c r="G1017" s="21"/>
    </row>
    <row r="1018" spans="1:7" ht="12" customHeight="1" x14ac:dyDescent="0.2">
      <c r="A1018" s="20"/>
      <c r="B1018" s="21"/>
      <c r="C1018" s="22"/>
      <c r="D1018" s="23"/>
      <c r="E1018" s="24"/>
      <c r="F1018" s="24"/>
      <c r="G1018" s="21"/>
    </row>
    <row r="1019" spans="1:7" ht="12" customHeight="1" x14ac:dyDescent="0.2">
      <c r="A1019" s="20"/>
      <c r="B1019" s="21"/>
      <c r="C1019" s="22"/>
      <c r="D1019" s="23"/>
      <c r="E1019" s="24"/>
      <c r="F1019" s="24"/>
      <c r="G1019" s="21"/>
    </row>
    <row r="1020" spans="1:7" ht="12" customHeight="1" x14ac:dyDescent="0.2">
      <c r="A1020" s="20"/>
      <c r="B1020" s="21"/>
      <c r="C1020" s="22"/>
      <c r="D1020" s="23"/>
      <c r="E1020" s="24"/>
      <c r="F1020" s="24"/>
      <c r="G1020" s="21"/>
    </row>
    <row r="1021" spans="1:7" ht="12" customHeight="1" x14ac:dyDescent="0.2">
      <c r="A1021" s="20"/>
      <c r="B1021" s="21"/>
      <c r="C1021" s="22"/>
      <c r="D1021" s="23"/>
      <c r="E1021" s="24"/>
      <c r="F1021" s="24"/>
      <c r="G1021" s="21"/>
    </row>
    <row r="1022" spans="1:7" ht="12" customHeight="1" x14ac:dyDescent="0.2">
      <c r="A1022" s="20"/>
      <c r="B1022" s="21"/>
      <c r="C1022" s="22"/>
      <c r="D1022" s="23"/>
      <c r="E1022" s="24"/>
      <c r="F1022" s="24"/>
      <c r="G1022" s="21"/>
    </row>
    <row r="1023" spans="1:7" ht="12" customHeight="1" x14ac:dyDescent="0.2">
      <c r="A1023" s="20"/>
      <c r="B1023" s="21"/>
      <c r="C1023" s="22"/>
      <c r="D1023" s="23"/>
      <c r="E1023" s="24"/>
      <c r="F1023" s="24"/>
      <c r="G1023" s="21"/>
    </row>
    <row r="1024" spans="1:7" ht="12" customHeight="1" x14ac:dyDescent="0.2">
      <c r="A1024" s="20"/>
      <c r="B1024" s="21"/>
      <c r="C1024" s="22"/>
      <c r="D1024" s="23"/>
      <c r="E1024" s="24"/>
      <c r="F1024" s="24"/>
      <c r="G1024" s="21"/>
    </row>
    <row r="1025" spans="1:7" ht="12" customHeight="1" x14ac:dyDescent="0.2">
      <c r="A1025" s="20"/>
      <c r="B1025" s="21"/>
      <c r="C1025" s="22"/>
      <c r="D1025" s="23"/>
      <c r="E1025" s="24"/>
      <c r="F1025" s="24"/>
      <c r="G1025" s="21"/>
    </row>
    <row r="1026" spans="1:7" ht="12" customHeight="1" x14ac:dyDescent="0.2">
      <c r="A1026" s="20"/>
      <c r="B1026" s="21"/>
      <c r="C1026" s="22"/>
      <c r="D1026" s="23"/>
      <c r="E1026" s="24"/>
      <c r="F1026" s="24"/>
      <c r="G1026" s="21"/>
    </row>
    <row r="1027" spans="1:7" ht="12" customHeight="1" x14ac:dyDescent="0.2">
      <c r="A1027" s="20"/>
      <c r="B1027" s="21"/>
      <c r="C1027" s="22"/>
      <c r="D1027" s="23"/>
      <c r="E1027" s="24"/>
      <c r="F1027" s="24"/>
      <c r="G1027" s="21"/>
    </row>
    <row r="1028" spans="1:7" ht="12" customHeight="1" x14ac:dyDescent="0.2">
      <c r="A1028" s="20"/>
      <c r="B1028" s="21"/>
      <c r="C1028" s="22"/>
      <c r="D1028" s="23"/>
      <c r="E1028" s="24"/>
      <c r="F1028" s="24"/>
      <c r="G1028" s="21"/>
    </row>
    <row r="1029" spans="1:7" ht="12" customHeight="1" x14ac:dyDescent="0.2">
      <c r="A1029" s="20"/>
      <c r="B1029" s="21"/>
      <c r="C1029" s="22"/>
      <c r="D1029" s="23"/>
      <c r="E1029" s="24"/>
      <c r="F1029" s="24"/>
      <c r="G1029" s="21"/>
    </row>
    <row r="1030" spans="1:7" ht="12" customHeight="1" x14ac:dyDescent="0.2">
      <c r="A1030" s="20"/>
      <c r="B1030" s="21"/>
      <c r="C1030" s="22"/>
      <c r="D1030" s="23"/>
      <c r="E1030" s="24"/>
      <c r="F1030" s="24"/>
      <c r="G1030" s="21"/>
    </row>
    <row r="1031" spans="1:7" ht="12" customHeight="1" x14ac:dyDescent="0.2">
      <c r="A1031" s="20"/>
      <c r="B1031" s="21"/>
      <c r="C1031" s="22"/>
      <c r="D1031" s="23"/>
      <c r="E1031" s="24"/>
      <c r="F1031" s="24"/>
      <c r="G1031" s="21"/>
    </row>
    <row r="1032" spans="1:7" ht="12" customHeight="1" x14ac:dyDescent="0.2">
      <c r="A1032" s="20"/>
      <c r="B1032" s="21"/>
      <c r="C1032" s="22"/>
      <c r="D1032" s="23"/>
      <c r="E1032" s="24"/>
      <c r="F1032" s="24"/>
      <c r="G1032" s="21"/>
    </row>
    <row r="1033" spans="1:7" ht="12" customHeight="1" x14ac:dyDescent="0.2">
      <c r="A1033" s="20"/>
      <c r="B1033" s="21"/>
      <c r="C1033" s="22"/>
      <c r="D1033" s="23"/>
      <c r="E1033" s="24"/>
      <c r="F1033" s="24"/>
      <c r="G1033" s="21"/>
    </row>
    <row r="1034" spans="1:7" ht="12" customHeight="1" x14ac:dyDescent="0.2">
      <c r="A1034" s="20"/>
      <c r="B1034" s="21"/>
      <c r="C1034" s="22"/>
      <c r="D1034" s="23"/>
      <c r="E1034" s="24"/>
      <c r="F1034" s="24"/>
      <c r="G1034" s="21"/>
    </row>
    <row r="1035" spans="1:7" ht="12" customHeight="1" x14ac:dyDescent="0.2">
      <c r="A1035" s="20"/>
      <c r="B1035" s="21"/>
      <c r="C1035" s="22"/>
      <c r="D1035" s="23"/>
      <c r="E1035" s="24"/>
      <c r="F1035" s="24"/>
      <c r="G1035" s="21"/>
    </row>
    <row r="1036" spans="1:7" ht="12" customHeight="1" x14ac:dyDescent="0.2">
      <c r="A1036" s="20"/>
      <c r="B1036" s="21"/>
      <c r="C1036" s="22"/>
      <c r="D1036" s="23"/>
      <c r="E1036" s="24"/>
      <c r="F1036" s="24"/>
      <c r="G1036" s="21"/>
    </row>
    <row r="1037" spans="1:7" ht="12" customHeight="1" x14ac:dyDescent="0.2">
      <c r="A1037" s="20"/>
      <c r="B1037" s="21"/>
      <c r="C1037" s="22"/>
      <c r="D1037" s="23"/>
      <c r="E1037" s="24"/>
      <c r="F1037" s="24"/>
      <c r="G1037" s="21"/>
    </row>
    <row r="1038" spans="1:7" ht="12" customHeight="1" x14ac:dyDescent="0.2">
      <c r="A1038" s="20"/>
      <c r="B1038" s="21"/>
      <c r="C1038" s="22"/>
      <c r="D1038" s="23"/>
      <c r="E1038" s="24"/>
      <c r="F1038" s="24"/>
      <c r="G1038" s="21"/>
    </row>
    <row r="1039" spans="1:7" ht="12" customHeight="1" x14ac:dyDescent="0.2">
      <c r="A1039" s="20"/>
      <c r="B1039" s="21"/>
      <c r="C1039" s="22"/>
      <c r="D1039" s="23"/>
      <c r="E1039" s="24"/>
      <c r="F1039" s="24"/>
      <c r="G1039" s="21"/>
    </row>
    <row r="1040" spans="1:7" ht="12" customHeight="1" x14ac:dyDescent="0.2">
      <c r="A1040" s="20"/>
      <c r="B1040" s="21"/>
      <c r="C1040" s="22"/>
      <c r="D1040" s="23"/>
      <c r="E1040" s="24"/>
      <c r="F1040" s="24"/>
      <c r="G1040" s="21"/>
    </row>
    <row r="1041" spans="1:7" ht="12" customHeight="1" x14ac:dyDescent="0.2">
      <c r="A1041" s="20"/>
      <c r="B1041" s="21"/>
      <c r="C1041" s="22"/>
      <c r="D1041" s="23"/>
      <c r="E1041" s="24"/>
      <c r="F1041" s="24"/>
      <c r="G1041" s="21"/>
    </row>
    <row r="1042" spans="1:7" ht="12" customHeight="1" x14ac:dyDescent="0.2">
      <c r="A1042" s="20"/>
      <c r="B1042" s="21"/>
      <c r="C1042" s="22"/>
      <c r="D1042" s="23"/>
      <c r="E1042" s="24"/>
      <c r="F1042" s="24"/>
      <c r="G1042" s="21"/>
    </row>
    <row r="1043" spans="1:7" ht="12" customHeight="1" x14ac:dyDescent="0.2">
      <c r="A1043" s="20"/>
      <c r="B1043" s="21"/>
      <c r="C1043" s="22"/>
      <c r="D1043" s="23"/>
      <c r="E1043" s="24"/>
      <c r="F1043" s="24"/>
      <c r="G1043" s="21"/>
    </row>
    <row r="1044" spans="1:7" ht="12" customHeight="1" x14ac:dyDescent="0.2">
      <c r="A1044" s="20"/>
      <c r="B1044" s="21"/>
      <c r="C1044" s="22"/>
      <c r="D1044" s="23"/>
      <c r="E1044" s="24"/>
      <c r="F1044" s="24"/>
      <c r="G1044" s="21"/>
    </row>
    <row r="1045" spans="1:7" ht="12" customHeight="1" x14ac:dyDescent="0.2">
      <c r="A1045" s="20"/>
      <c r="B1045" s="21"/>
      <c r="C1045" s="22"/>
      <c r="D1045" s="23"/>
      <c r="E1045" s="24"/>
      <c r="F1045" s="24"/>
      <c r="G1045" s="21"/>
    </row>
    <row r="1046" spans="1:7" ht="12" customHeight="1" x14ac:dyDescent="0.2">
      <c r="A1046" s="20"/>
      <c r="B1046" s="21"/>
      <c r="C1046" s="22"/>
      <c r="D1046" s="23"/>
      <c r="E1046" s="24"/>
      <c r="F1046" s="24"/>
      <c r="G1046" s="21"/>
    </row>
    <row r="1047" spans="1:7" ht="12" customHeight="1" x14ac:dyDescent="0.2">
      <c r="A1047" s="20"/>
      <c r="B1047" s="21"/>
      <c r="C1047" s="22"/>
      <c r="D1047" s="23"/>
      <c r="E1047" s="24"/>
      <c r="F1047" s="24"/>
      <c r="G1047" s="21"/>
    </row>
    <row r="1048" spans="1:7" ht="12" customHeight="1" x14ac:dyDescent="0.2">
      <c r="A1048" s="20"/>
      <c r="B1048" s="21"/>
      <c r="C1048" s="22"/>
      <c r="D1048" s="23"/>
      <c r="E1048" s="24"/>
      <c r="F1048" s="24"/>
      <c r="G1048" s="21"/>
    </row>
    <row r="1049" spans="1:7" ht="12" customHeight="1" x14ac:dyDescent="0.2">
      <c r="A1049" s="20"/>
      <c r="B1049" s="21"/>
      <c r="C1049" s="22"/>
      <c r="D1049" s="23"/>
      <c r="E1049" s="24"/>
      <c r="F1049" s="24"/>
      <c r="G1049" s="21"/>
    </row>
    <row r="1050" spans="1:7" ht="12" customHeight="1" x14ac:dyDescent="0.2">
      <c r="A1050" s="20"/>
      <c r="B1050" s="21"/>
      <c r="C1050" s="22"/>
      <c r="D1050" s="23"/>
      <c r="E1050" s="24"/>
      <c r="F1050" s="24"/>
      <c r="G1050" s="21"/>
    </row>
    <row r="1051" spans="1:7" ht="12" customHeight="1" x14ac:dyDescent="0.2">
      <c r="A1051" s="20"/>
      <c r="B1051" s="21"/>
      <c r="C1051" s="22"/>
      <c r="D1051" s="23"/>
      <c r="E1051" s="24"/>
      <c r="F1051" s="24"/>
      <c r="G1051" s="21"/>
    </row>
    <row r="1052" spans="1:7" ht="12" customHeight="1" x14ac:dyDescent="0.2">
      <c r="A1052" s="20"/>
      <c r="B1052" s="21"/>
      <c r="C1052" s="22"/>
      <c r="D1052" s="23"/>
      <c r="E1052" s="24"/>
      <c r="F1052" s="24"/>
      <c r="G1052" s="21"/>
    </row>
    <row r="1053" spans="1:7" ht="12" customHeight="1" x14ac:dyDescent="0.2">
      <c r="A1053" s="20"/>
      <c r="B1053" s="21"/>
      <c r="C1053" s="22"/>
      <c r="D1053" s="23"/>
      <c r="E1053" s="24"/>
      <c r="F1053" s="24"/>
      <c r="G1053" s="21"/>
    </row>
    <row r="1054" spans="1:7" ht="12" customHeight="1" x14ac:dyDescent="0.2">
      <c r="A1054" s="20"/>
      <c r="B1054" s="21"/>
      <c r="C1054" s="22"/>
      <c r="D1054" s="23"/>
      <c r="E1054" s="24"/>
      <c r="F1054" s="24"/>
      <c r="G1054" s="21"/>
    </row>
    <row r="1055" spans="1:7" ht="12" customHeight="1" x14ac:dyDescent="0.2">
      <c r="A1055" s="20"/>
      <c r="B1055" s="21"/>
      <c r="C1055" s="22"/>
      <c r="D1055" s="23"/>
      <c r="E1055" s="24"/>
      <c r="F1055" s="24"/>
      <c r="G1055" s="21"/>
    </row>
    <row r="1056" spans="1:7" ht="12" customHeight="1" x14ac:dyDescent="0.2">
      <c r="A1056" s="20"/>
      <c r="B1056" s="21"/>
      <c r="C1056" s="22"/>
      <c r="D1056" s="23"/>
      <c r="E1056" s="24"/>
      <c r="F1056" s="24"/>
      <c r="G1056" s="21"/>
    </row>
    <row r="1057" spans="1:7" ht="12" customHeight="1" x14ac:dyDescent="0.2">
      <c r="A1057" s="20"/>
      <c r="B1057" s="21"/>
      <c r="C1057" s="22"/>
      <c r="D1057" s="23"/>
      <c r="E1057" s="24"/>
      <c r="F1057" s="24"/>
      <c r="G1057" s="21"/>
    </row>
    <row r="1058" spans="1:7" ht="12" customHeight="1" x14ac:dyDescent="0.2">
      <c r="A1058" s="20"/>
      <c r="B1058" s="21"/>
      <c r="C1058" s="22"/>
      <c r="D1058" s="23"/>
      <c r="E1058" s="24"/>
      <c r="F1058" s="24"/>
      <c r="G1058" s="21"/>
    </row>
    <row r="1059" spans="1:7" ht="12" customHeight="1" x14ac:dyDescent="0.2">
      <c r="A1059" s="20"/>
      <c r="B1059" s="21"/>
      <c r="C1059" s="22"/>
      <c r="D1059" s="23"/>
      <c r="E1059" s="24"/>
      <c r="F1059" s="24"/>
      <c r="G1059" s="21"/>
    </row>
    <row r="1060" spans="1:7" ht="12" customHeight="1" x14ac:dyDescent="0.2">
      <c r="A1060" s="20"/>
      <c r="B1060" s="21"/>
      <c r="C1060" s="22"/>
      <c r="D1060" s="23"/>
      <c r="E1060" s="24"/>
      <c r="F1060" s="24"/>
      <c r="G1060" s="21"/>
    </row>
    <row r="1061" spans="1:7" ht="12" customHeight="1" x14ac:dyDescent="0.2">
      <c r="A1061" s="20"/>
      <c r="B1061" s="21"/>
      <c r="C1061" s="22"/>
      <c r="D1061" s="23"/>
      <c r="E1061" s="24"/>
      <c r="F1061" s="24"/>
      <c r="G1061" s="21"/>
    </row>
    <row r="1062" spans="1:7" ht="12" customHeight="1" x14ac:dyDescent="0.2">
      <c r="A1062" s="20"/>
      <c r="B1062" s="21"/>
      <c r="C1062" s="22"/>
      <c r="D1062" s="23"/>
      <c r="E1062" s="24"/>
      <c r="F1062" s="24"/>
      <c r="G1062" s="21"/>
    </row>
    <row r="1063" spans="1:7" ht="12" customHeight="1" x14ac:dyDescent="0.2">
      <c r="A1063" s="20"/>
      <c r="B1063" s="21"/>
      <c r="C1063" s="22"/>
      <c r="D1063" s="23"/>
      <c r="E1063" s="24"/>
      <c r="F1063" s="24"/>
      <c r="G1063" s="21"/>
    </row>
    <row r="1064" spans="1:7" ht="12" customHeight="1" x14ac:dyDescent="0.2">
      <c r="A1064" s="20"/>
      <c r="B1064" s="21"/>
      <c r="C1064" s="22"/>
      <c r="D1064" s="23"/>
      <c r="E1064" s="24"/>
      <c r="F1064" s="24"/>
      <c r="G1064" s="21"/>
    </row>
    <row r="1065" spans="1:7" ht="12" customHeight="1" x14ac:dyDescent="0.2">
      <c r="A1065" s="20"/>
      <c r="B1065" s="21"/>
      <c r="C1065" s="22"/>
      <c r="D1065" s="23"/>
      <c r="E1065" s="24"/>
      <c r="F1065" s="24"/>
      <c r="G1065" s="21"/>
    </row>
    <row r="1066" spans="1:7" ht="12" customHeight="1" x14ac:dyDescent="0.2">
      <c r="A1066" s="20"/>
      <c r="B1066" s="21"/>
      <c r="C1066" s="22"/>
      <c r="D1066" s="23"/>
      <c r="E1066" s="24"/>
      <c r="F1066" s="24"/>
      <c r="G1066" s="21"/>
    </row>
    <row r="1067" spans="1:7" ht="12" customHeight="1" x14ac:dyDescent="0.2">
      <c r="A1067" s="20"/>
      <c r="B1067" s="21"/>
      <c r="C1067" s="22"/>
      <c r="D1067" s="23"/>
      <c r="E1067" s="24"/>
      <c r="F1067" s="24"/>
      <c r="G1067" s="21"/>
    </row>
    <row r="1068" spans="1:7" ht="12" customHeight="1" x14ac:dyDescent="0.2">
      <c r="A1068" s="20"/>
      <c r="B1068" s="21"/>
      <c r="C1068" s="22"/>
      <c r="D1068" s="23"/>
      <c r="E1068" s="24"/>
      <c r="F1068" s="24"/>
      <c r="G1068" s="21"/>
    </row>
    <row r="1069" spans="1:7" ht="12" customHeight="1" x14ac:dyDescent="0.2">
      <c r="A1069" s="20"/>
      <c r="B1069" s="21"/>
      <c r="C1069" s="22"/>
      <c r="D1069" s="23"/>
      <c r="E1069" s="24"/>
      <c r="F1069" s="24"/>
      <c r="G1069" s="21"/>
    </row>
    <row r="1070" spans="1:7" ht="12" customHeight="1" x14ac:dyDescent="0.2">
      <c r="A1070" s="20"/>
      <c r="B1070" s="21"/>
      <c r="C1070" s="22"/>
      <c r="D1070" s="23"/>
      <c r="E1070" s="24"/>
      <c r="F1070" s="24"/>
      <c r="G1070" s="21"/>
    </row>
    <row r="1071" spans="1:7" ht="12" customHeight="1" x14ac:dyDescent="0.2">
      <c r="A1071" s="20"/>
      <c r="B1071" s="21"/>
      <c r="C1071" s="22"/>
      <c r="D1071" s="23"/>
      <c r="E1071" s="24"/>
      <c r="F1071" s="24"/>
      <c r="G1071" s="21"/>
    </row>
    <row r="1072" spans="1:7" ht="12" customHeight="1" x14ac:dyDescent="0.2">
      <c r="A1072" s="20"/>
      <c r="B1072" s="21"/>
      <c r="C1072" s="22"/>
      <c r="D1072" s="23"/>
      <c r="E1072" s="24"/>
      <c r="F1072" s="24"/>
      <c r="G1072" s="21"/>
    </row>
    <row r="1073" spans="1:7" ht="12" customHeight="1" x14ac:dyDescent="0.2">
      <c r="A1073" s="20"/>
      <c r="B1073" s="21"/>
      <c r="C1073" s="22"/>
      <c r="D1073" s="23"/>
      <c r="E1073" s="24"/>
      <c r="F1073" s="24"/>
      <c r="G1073" s="21"/>
    </row>
    <row r="1074" spans="1:7" ht="12" customHeight="1" x14ac:dyDescent="0.2">
      <c r="A1074" s="20"/>
      <c r="B1074" s="21"/>
      <c r="C1074" s="22"/>
      <c r="D1074" s="23"/>
      <c r="E1074" s="24"/>
      <c r="F1074" s="24"/>
      <c r="G1074" s="21"/>
    </row>
    <row r="1075" spans="1:7" ht="12" customHeight="1" x14ac:dyDescent="0.2">
      <c r="A1075" s="20"/>
      <c r="B1075" s="21"/>
      <c r="C1075" s="22"/>
      <c r="D1075" s="23"/>
      <c r="E1075" s="24"/>
      <c r="F1075" s="24"/>
      <c r="G1075" s="21"/>
    </row>
    <row r="1076" spans="1:7" ht="12" customHeight="1" x14ac:dyDescent="0.2">
      <c r="A1076" s="20"/>
      <c r="B1076" s="21"/>
      <c r="C1076" s="22"/>
      <c r="D1076" s="23"/>
      <c r="E1076" s="24"/>
      <c r="F1076" s="24"/>
      <c r="G1076" s="21"/>
    </row>
    <row r="1077" spans="1:7" ht="12" customHeight="1" x14ac:dyDescent="0.2">
      <c r="A1077" s="20"/>
      <c r="B1077" s="21"/>
      <c r="C1077" s="22"/>
      <c r="D1077" s="23"/>
      <c r="E1077" s="24"/>
      <c r="F1077" s="24"/>
      <c r="G1077" s="21"/>
    </row>
    <row r="1078" spans="1:7" ht="12" customHeight="1" x14ac:dyDescent="0.2">
      <c r="A1078" s="20"/>
      <c r="B1078" s="21"/>
      <c r="C1078" s="22"/>
      <c r="D1078" s="23"/>
      <c r="E1078" s="24"/>
      <c r="F1078" s="24"/>
      <c r="G1078" s="21"/>
    </row>
    <row r="1079" spans="1:7" ht="12" customHeight="1" x14ac:dyDescent="0.2">
      <c r="A1079" s="20"/>
      <c r="B1079" s="21"/>
      <c r="C1079" s="22"/>
      <c r="D1079" s="23"/>
      <c r="E1079" s="24"/>
      <c r="F1079" s="24"/>
      <c r="G1079" s="21"/>
    </row>
    <row r="1080" spans="1:7" ht="12" customHeight="1" x14ac:dyDescent="0.2">
      <c r="A1080" s="20"/>
      <c r="B1080" s="21"/>
      <c r="C1080" s="22"/>
      <c r="D1080" s="23"/>
      <c r="E1080" s="24"/>
      <c r="F1080" s="24"/>
      <c r="G1080" s="21"/>
    </row>
    <row r="1081" spans="1:7" ht="12" customHeight="1" x14ac:dyDescent="0.2">
      <c r="A1081" s="20"/>
      <c r="B1081" s="21"/>
      <c r="C1081" s="22"/>
      <c r="D1081" s="23"/>
      <c r="E1081" s="24"/>
      <c r="F1081" s="24"/>
      <c r="G1081" s="21"/>
    </row>
    <row r="1082" spans="1:7" ht="12" customHeight="1" x14ac:dyDescent="0.2">
      <c r="A1082" s="20"/>
      <c r="B1082" s="21"/>
      <c r="C1082" s="22"/>
      <c r="D1082" s="23"/>
      <c r="E1082" s="24"/>
      <c r="F1082" s="24"/>
      <c r="G1082" s="21"/>
    </row>
    <row r="1083" spans="1:7" ht="12" customHeight="1" x14ac:dyDescent="0.2">
      <c r="A1083" s="20"/>
      <c r="B1083" s="21"/>
      <c r="C1083" s="22"/>
      <c r="D1083" s="23"/>
      <c r="E1083" s="24"/>
      <c r="F1083" s="24"/>
      <c r="G1083" s="21"/>
    </row>
    <row r="1084" spans="1:7" ht="12" customHeight="1" x14ac:dyDescent="0.2">
      <c r="A1084" s="20"/>
      <c r="B1084" s="21"/>
      <c r="C1084" s="22"/>
      <c r="D1084" s="23"/>
      <c r="E1084" s="24"/>
      <c r="F1084" s="24"/>
      <c r="G1084" s="21"/>
    </row>
    <row r="1085" spans="1:7" ht="12" customHeight="1" x14ac:dyDescent="0.2">
      <c r="A1085" s="20"/>
      <c r="B1085" s="21"/>
      <c r="C1085" s="22"/>
      <c r="D1085" s="23"/>
      <c r="E1085" s="24"/>
      <c r="F1085" s="24"/>
      <c r="G1085" s="21"/>
    </row>
    <row r="1086" spans="1:7" ht="12" customHeight="1" x14ac:dyDescent="0.2">
      <c r="A1086" s="20"/>
      <c r="B1086" s="21"/>
      <c r="C1086" s="22"/>
      <c r="D1086" s="23"/>
      <c r="E1086" s="24"/>
      <c r="F1086" s="24"/>
      <c r="G1086" s="21"/>
    </row>
    <row r="1087" spans="1:7" ht="12" customHeight="1" x14ac:dyDescent="0.2">
      <c r="A1087" s="20"/>
      <c r="B1087" s="21"/>
      <c r="C1087" s="22"/>
      <c r="D1087" s="23"/>
      <c r="E1087" s="24"/>
      <c r="F1087" s="24"/>
      <c r="G1087" s="21"/>
    </row>
    <row r="1088" spans="1:7" ht="12" customHeight="1" x14ac:dyDescent="0.2">
      <c r="A1088" s="20"/>
      <c r="B1088" s="21"/>
      <c r="C1088" s="22"/>
      <c r="D1088" s="23"/>
      <c r="E1088" s="24"/>
      <c r="F1088" s="24"/>
      <c r="G1088" s="21"/>
    </row>
    <row r="1089" spans="1:7" ht="12" customHeight="1" x14ac:dyDescent="0.2">
      <c r="A1089" s="20"/>
      <c r="B1089" s="21"/>
      <c r="C1089" s="22"/>
      <c r="D1089" s="23"/>
      <c r="E1089" s="24"/>
      <c r="F1089" s="24"/>
      <c r="G1089" s="21"/>
    </row>
    <row r="1090" spans="1:7" ht="12" customHeight="1" x14ac:dyDescent="0.2">
      <c r="A1090" s="20"/>
      <c r="B1090" s="21"/>
      <c r="C1090" s="22"/>
      <c r="D1090" s="23"/>
      <c r="E1090" s="24"/>
      <c r="F1090" s="24"/>
      <c r="G1090" s="21"/>
    </row>
    <row r="1091" spans="1:7" ht="12" customHeight="1" x14ac:dyDescent="0.2">
      <c r="A1091" s="20"/>
      <c r="B1091" s="21"/>
      <c r="C1091" s="22"/>
      <c r="D1091" s="23"/>
      <c r="E1091" s="24"/>
      <c r="F1091" s="24"/>
      <c r="G1091" s="21"/>
    </row>
    <row r="1092" spans="1:7" ht="12" customHeight="1" x14ac:dyDescent="0.2">
      <c r="A1092" s="20"/>
      <c r="B1092" s="21"/>
      <c r="C1092" s="22"/>
      <c r="D1092" s="23"/>
      <c r="E1092" s="24"/>
      <c r="F1092" s="24"/>
      <c r="G1092" s="21"/>
    </row>
    <row r="1093" spans="1:7" ht="12" customHeight="1" x14ac:dyDescent="0.2">
      <c r="A1093" s="20"/>
      <c r="B1093" s="21"/>
      <c r="C1093" s="22"/>
      <c r="D1093" s="23"/>
      <c r="E1093" s="24"/>
      <c r="F1093" s="24"/>
      <c r="G1093" s="21"/>
    </row>
    <row r="1094" spans="1:7" ht="12" customHeight="1" x14ac:dyDescent="0.2">
      <c r="A1094" s="20"/>
      <c r="B1094" s="21"/>
      <c r="C1094" s="22"/>
      <c r="D1094" s="23"/>
      <c r="E1094" s="24"/>
      <c r="F1094" s="24"/>
      <c r="G1094" s="21"/>
    </row>
    <row r="1095" spans="1:7" ht="12" customHeight="1" x14ac:dyDescent="0.2">
      <c r="A1095" s="20"/>
      <c r="B1095" s="21"/>
      <c r="C1095" s="22"/>
      <c r="D1095" s="23"/>
      <c r="E1095" s="24"/>
      <c r="F1095" s="24"/>
      <c r="G1095" s="21"/>
    </row>
    <row r="1096" spans="1:7" ht="12" customHeight="1" x14ac:dyDescent="0.2">
      <c r="A1096" s="20"/>
      <c r="B1096" s="21"/>
      <c r="C1096" s="22"/>
      <c r="D1096" s="23"/>
      <c r="E1096" s="24"/>
      <c r="F1096" s="24"/>
      <c r="G1096" s="21"/>
    </row>
    <row r="1097" spans="1:7" ht="12" customHeight="1" x14ac:dyDescent="0.2">
      <c r="A1097" s="20"/>
      <c r="B1097" s="21"/>
      <c r="C1097" s="22"/>
      <c r="D1097" s="23"/>
      <c r="E1097" s="24"/>
      <c r="F1097" s="24"/>
      <c r="G1097" s="21"/>
    </row>
    <row r="1098" spans="1:7" ht="12" customHeight="1" x14ac:dyDescent="0.2">
      <c r="A1098" s="20"/>
      <c r="B1098" s="21"/>
      <c r="C1098" s="22"/>
      <c r="D1098" s="23"/>
      <c r="E1098" s="24"/>
      <c r="F1098" s="24"/>
      <c r="G1098" s="21"/>
    </row>
    <row r="1099" spans="1:7" ht="12" customHeight="1" x14ac:dyDescent="0.2">
      <c r="A1099" s="20"/>
      <c r="B1099" s="21"/>
      <c r="C1099" s="22"/>
      <c r="D1099" s="23"/>
      <c r="E1099" s="24"/>
      <c r="F1099" s="24"/>
      <c r="G1099" s="21"/>
    </row>
    <row r="1100" spans="1:7" ht="12" customHeight="1" x14ac:dyDescent="0.2">
      <c r="A1100" s="20"/>
      <c r="B1100" s="21"/>
      <c r="C1100" s="22"/>
      <c r="D1100" s="23"/>
      <c r="E1100" s="24"/>
      <c r="F1100" s="24"/>
      <c r="G1100" s="21"/>
    </row>
    <row r="1101" spans="1:7" ht="12" customHeight="1" x14ac:dyDescent="0.2">
      <c r="A1101" s="20"/>
      <c r="B1101" s="21"/>
      <c r="C1101" s="22"/>
      <c r="D1101" s="23"/>
      <c r="E1101" s="24"/>
      <c r="F1101" s="24"/>
      <c r="G1101" s="21"/>
    </row>
    <row r="1102" spans="1:7" ht="12" customHeight="1" x14ac:dyDescent="0.2">
      <c r="A1102" s="20"/>
      <c r="B1102" s="21"/>
      <c r="C1102" s="22"/>
      <c r="D1102" s="23"/>
      <c r="E1102" s="24"/>
      <c r="F1102" s="24"/>
      <c r="G1102" s="21"/>
    </row>
  </sheetData>
  <sheetProtection algorithmName="SHA-512" hashValue="Pgu+gRzFBM5tr1C+qYPTg2yeeG3MfHBM39FZ+RAa6RPJDqvRAP9J+tOd6ahKytyKZh2FIyL3YwYB3AvhsSw1bA==" saltValue="XHJaEq3KNBvTN+dOIlZj9Q==" spinCount="100000" sheet="1" objects="1" scenarios="1"/>
  <mergeCells count="192">
    <mergeCell ref="G152:G156"/>
    <mergeCell ref="E157:E161"/>
    <mergeCell ref="G157:G161"/>
    <mergeCell ref="E162:E166"/>
    <mergeCell ref="G162:G166"/>
    <mergeCell ref="E167:E171"/>
    <mergeCell ref="G167:G171"/>
    <mergeCell ref="E127:E131"/>
    <mergeCell ref="G127:G131"/>
    <mergeCell ref="E132:E136"/>
    <mergeCell ref="G132:G136"/>
    <mergeCell ref="E137:E141"/>
    <mergeCell ref="G137:G141"/>
    <mergeCell ref="E142:E146"/>
    <mergeCell ref="G142:G146"/>
    <mergeCell ref="E147:E151"/>
    <mergeCell ref="G147:G151"/>
    <mergeCell ref="E152:E156"/>
    <mergeCell ref="E102:E106"/>
    <mergeCell ref="G102:G106"/>
    <mergeCell ref="E107:E111"/>
    <mergeCell ref="G107:G111"/>
    <mergeCell ref="E112:E116"/>
    <mergeCell ref="G112:G116"/>
    <mergeCell ref="E117:E121"/>
    <mergeCell ref="G117:G121"/>
    <mergeCell ref="E122:E126"/>
    <mergeCell ref="G122:G126"/>
    <mergeCell ref="E77:E81"/>
    <mergeCell ref="G77:G81"/>
    <mergeCell ref="E82:E86"/>
    <mergeCell ref="G82:G86"/>
    <mergeCell ref="E87:E91"/>
    <mergeCell ref="G87:G91"/>
    <mergeCell ref="E92:E96"/>
    <mergeCell ref="G92:G96"/>
    <mergeCell ref="E97:E101"/>
    <mergeCell ref="G97:G101"/>
    <mergeCell ref="E52:E56"/>
    <mergeCell ref="G52:G56"/>
    <mergeCell ref="E57:E61"/>
    <mergeCell ref="G57:G61"/>
    <mergeCell ref="E62:E66"/>
    <mergeCell ref="G62:G66"/>
    <mergeCell ref="E67:E71"/>
    <mergeCell ref="G67:G71"/>
    <mergeCell ref="E72:E76"/>
    <mergeCell ref="G72:G76"/>
    <mergeCell ref="E27:E31"/>
    <mergeCell ref="G27:G31"/>
    <mergeCell ref="E32:E36"/>
    <mergeCell ref="G32:G36"/>
    <mergeCell ref="E37:E41"/>
    <mergeCell ref="G37:G41"/>
    <mergeCell ref="E42:E46"/>
    <mergeCell ref="G42:G46"/>
    <mergeCell ref="E47:E51"/>
    <mergeCell ref="G47:G51"/>
    <mergeCell ref="E2:E6"/>
    <mergeCell ref="G2:G6"/>
    <mergeCell ref="E7:E11"/>
    <mergeCell ref="G7:G11"/>
    <mergeCell ref="E12:E16"/>
    <mergeCell ref="G12:G16"/>
    <mergeCell ref="E17:E21"/>
    <mergeCell ref="G17:G21"/>
    <mergeCell ref="E22:E26"/>
    <mergeCell ref="G22:G26"/>
    <mergeCell ref="A32:A33"/>
    <mergeCell ref="A34:A35"/>
    <mergeCell ref="A36:A76"/>
    <mergeCell ref="A77:A78"/>
    <mergeCell ref="A79:A80"/>
    <mergeCell ref="A81:A101"/>
    <mergeCell ref="A102:A103"/>
    <mergeCell ref="B107:B111"/>
    <mergeCell ref="C107:C111"/>
    <mergeCell ref="C97:C101"/>
    <mergeCell ref="B32:B36"/>
    <mergeCell ref="C32:C36"/>
    <mergeCell ref="B62:B66"/>
    <mergeCell ref="C62:C66"/>
    <mergeCell ref="B72:B76"/>
    <mergeCell ref="C72:C76"/>
    <mergeCell ref="B102:B106"/>
    <mergeCell ref="C102:C106"/>
    <mergeCell ref="A117:A118"/>
    <mergeCell ref="A119:A120"/>
    <mergeCell ref="A121:A136"/>
    <mergeCell ref="B137:B141"/>
    <mergeCell ref="C137:C141"/>
    <mergeCell ref="D137:D141"/>
    <mergeCell ref="D107:D111"/>
    <mergeCell ref="A104:A105"/>
    <mergeCell ref="B122:B126"/>
    <mergeCell ref="C122:C126"/>
    <mergeCell ref="D122:D126"/>
    <mergeCell ref="D112:D116"/>
    <mergeCell ref="C112:C116"/>
    <mergeCell ref="B112:B116"/>
    <mergeCell ref="A106:A116"/>
    <mergeCell ref="A137:A138"/>
    <mergeCell ref="A139:A140"/>
    <mergeCell ref="B117:B121"/>
    <mergeCell ref="C117:C121"/>
    <mergeCell ref="D117:D121"/>
    <mergeCell ref="B127:B131"/>
    <mergeCell ref="C127:C131"/>
    <mergeCell ref="D127:D131"/>
    <mergeCell ref="B132:B136"/>
    <mergeCell ref="D102:D106"/>
    <mergeCell ref="B87:B91"/>
    <mergeCell ref="C87:C91"/>
    <mergeCell ref="D87:D91"/>
    <mergeCell ref="B97:B101"/>
    <mergeCell ref="D97:D101"/>
    <mergeCell ref="D32:D36"/>
    <mergeCell ref="B37:B41"/>
    <mergeCell ref="C37:C41"/>
    <mergeCell ref="D37:D41"/>
    <mergeCell ref="B42:B46"/>
    <mergeCell ref="C42:C46"/>
    <mergeCell ref="D42:D46"/>
    <mergeCell ref="C57:C61"/>
    <mergeCell ref="D57:D61"/>
    <mergeCell ref="C132:C136"/>
    <mergeCell ref="D132:D136"/>
    <mergeCell ref="A2:A3"/>
    <mergeCell ref="A6:A21"/>
    <mergeCell ref="A4:A5"/>
    <mergeCell ref="A22:A23"/>
    <mergeCell ref="B2:B6"/>
    <mergeCell ref="C2:C6"/>
    <mergeCell ref="D2:D6"/>
    <mergeCell ref="B7:B11"/>
    <mergeCell ref="C7:C11"/>
    <mergeCell ref="D7:D11"/>
    <mergeCell ref="B17:B21"/>
    <mergeCell ref="C17:C21"/>
    <mergeCell ref="B12:B16"/>
    <mergeCell ref="C12:C16"/>
    <mergeCell ref="D12:D16"/>
    <mergeCell ref="D17:D21"/>
    <mergeCell ref="B22:B26"/>
    <mergeCell ref="C22:C26"/>
    <mergeCell ref="D22:D26"/>
    <mergeCell ref="A24:A25"/>
    <mergeCell ref="A26:A31"/>
    <mergeCell ref="D62:D66"/>
    <mergeCell ref="C1:D1"/>
    <mergeCell ref="B67:B71"/>
    <mergeCell ref="C67:C71"/>
    <mergeCell ref="D67:D71"/>
    <mergeCell ref="B92:B96"/>
    <mergeCell ref="C92:C96"/>
    <mergeCell ref="D92:D96"/>
    <mergeCell ref="D47:D51"/>
    <mergeCell ref="B52:B56"/>
    <mergeCell ref="C52:C56"/>
    <mergeCell ref="D52:D56"/>
    <mergeCell ref="B27:B31"/>
    <mergeCell ref="C27:C31"/>
    <mergeCell ref="D27:D31"/>
    <mergeCell ref="B77:B81"/>
    <mergeCell ref="C77:C81"/>
    <mergeCell ref="D77:D81"/>
    <mergeCell ref="B82:B86"/>
    <mergeCell ref="C82:C86"/>
    <mergeCell ref="D82:D86"/>
    <mergeCell ref="D72:D76"/>
    <mergeCell ref="B57:B61"/>
    <mergeCell ref="B47:B51"/>
    <mergeCell ref="C47:C51"/>
    <mergeCell ref="B167:B171"/>
    <mergeCell ref="C167:C171"/>
    <mergeCell ref="D167:D171"/>
    <mergeCell ref="A141:A171"/>
    <mergeCell ref="B142:B146"/>
    <mergeCell ref="C142:C146"/>
    <mergeCell ref="D142:D146"/>
    <mergeCell ref="B147:B151"/>
    <mergeCell ref="C147:C151"/>
    <mergeCell ref="D147:D151"/>
    <mergeCell ref="B162:B166"/>
    <mergeCell ref="C162:C166"/>
    <mergeCell ref="D162:D166"/>
    <mergeCell ref="B152:B156"/>
    <mergeCell ref="C152:C156"/>
    <mergeCell ref="D152:D156"/>
    <mergeCell ref="B157:B161"/>
    <mergeCell ref="C157:C161"/>
    <mergeCell ref="D157:D161"/>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CC"/>
  </sheetPr>
  <dimension ref="A1:A53"/>
  <sheetViews>
    <sheetView workbookViewId="0">
      <selection activeCell="A14" sqref="A14"/>
    </sheetView>
  </sheetViews>
  <sheetFormatPr baseColWidth="10" defaultColWidth="8.83203125" defaultRowHeight="16" x14ac:dyDescent="0.2"/>
  <cols>
    <col min="1" max="1" width="147.33203125" customWidth="1"/>
  </cols>
  <sheetData>
    <row r="1" spans="1:1" ht="16.25" customHeight="1" thickBot="1" x14ac:dyDescent="0.25">
      <c r="A1" s="201" t="s">
        <v>552</v>
      </c>
    </row>
    <row r="2" spans="1:1" ht="17" thickBot="1" x14ac:dyDescent="0.25">
      <c r="A2" s="197"/>
    </row>
    <row r="3" spans="1:1" x14ac:dyDescent="0.2">
      <c r="A3" s="198" t="s">
        <v>547</v>
      </c>
    </row>
    <row r="4" spans="1:1" x14ac:dyDescent="0.2">
      <c r="A4" s="199" t="s">
        <v>553</v>
      </c>
    </row>
    <row r="5" spans="1:1" x14ac:dyDescent="0.2">
      <c r="A5" s="199" t="s">
        <v>565</v>
      </c>
    </row>
    <row r="6" spans="1:1" x14ac:dyDescent="0.2">
      <c r="A6" s="199" t="s">
        <v>566</v>
      </c>
    </row>
    <row r="7" spans="1:1" x14ac:dyDescent="0.2">
      <c r="A7" s="199" t="s">
        <v>556</v>
      </c>
    </row>
    <row r="8" spans="1:1" x14ac:dyDescent="0.2">
      <c r="A8" s="199" t="s">
        <v>557</v>
      </c>
    </row>
    <row r="9" spans="1:1" x14ac:dyDescent="0.2">
      <c r="A9" s="199" t="s">
        <v>555</v>
      </c>
    </row>
    <row r="10" spans="1:1" x14ac:dyDescent="0.2">
      <c r="A10" s="199" t="s">
        <v>414</v>
      </c>
    </row>
    <row r="11" spans="1:1" x14ac:dyDescent="0.2">
      <c r="A11" s="199" t="s">
        <v>432</v>
      </c>
    </row>
    <row r="12" spans="1:1" x14ac:dyDescent="0.2">
      <c r="A12" s="204" t="s">
        <v>578</v>
      </c>
    </row>
    <row r="13" spans="1:1" ht="17" thickBot="1" x14ac:dyDescent="0.25">
      <c r="A13" s="200" t="s">
        <v>579</v>
      </c>
    </row>
    <row r="14" spans="1:1" ht="17" thickBot="1" x14ac:dyDescent="0.25">
      <c r="A14" s="197"/>
    </row>
    <row r="15" spans="1:1" x14ac:dyDescent="0.2">
      <c r="A15" s="198" t="s">
        <v>548</v>
      </c>
    </row>
    <row r="16" spans="1:1" x14ac:dyDescent="0.2">
      <c r="A16" s="199" t="s">
        <v>564</v>
      </c>
    </row>
    <row r="17" spans="1:1" x14ac:dyDescent="0.2">
      <c r="A17" s="199" t="s">
        <v>549</v>
      </c>
    </row>
    <row r="18" spans="1:1" x14ac:dyDescent="0.2">
      <c r="A18" s="199" t="s">
        <v>550</v>
      </c>
    </row>
    <row r="19" spans="1:1" x14ac:dyDescent="0.2">
      <c r="A19" s="199" t="s">
        <v>551</v>
      </c>
    </row>
    <row r="20" spans="1:1" x14ac:dyDescent="0.2">
      <c r="A20" s="199" t="s">
        <v>576</v>
      </c>
    </row>
    <row r="21" spans="1:1" x14ac:dyDescent="0.2">
      <c r="A21" s="199" t="s">
        <v>561</v>
      </c>
    </row>
    <row r="22" spans="1:1" x14ac:dyDescent="0.2">
      <c r="A22" s="199" t="s">
        <v>474</v>
      </c>
    </row>
    <row r="23" spans="1:1" ht="17" thickBot="1" x14ac:dyDescent="0.25">
      <c r="A23" s="200" t="s">
        <v>571</v>
      </c>
    </row>
    <row r="24" spans="1:1" ht="17" thickBot="1" x14ac:dyDescent="0.25">
      <c r="A24" s="197"/>
    </row>
    <row r="25" spans="1:1" x14ac:dyDescent="0.2">
      <c r="A25" s="198" t="s">
        <v>262</v>
      </c>
    </row>
    <row r="26" spans="1:1" x14ac:dyDescent="0.2">
      <c r="A26" s="199" t="s">
        <v>419</v>
      </c>
    </row>
    <row r="27" spans="1:1" x14ac:dyDescent="0.2">
      <c r="A27" s="199" t="s">
        <v>580</v>
      </c>
    </row>
    <row r="28" spans="1:1" x14ac:dyDescent="0.2">
      <c r="A28" s="199" t="s">
        <v>423</v>
      </c>
    </row>
    <row r="29" spans="1:1" x14ac:dyDescent="0.2">
      <c r="A29" s="199" t="s">
        <v>412</v>
      </c>
    </row>
    <row r="30" spans="1:1" x14ac:dyDescent="0.2">
      <c r="A30" s="199" t="s">
        <v>569</v>
      </c>
    </row>
    <row r="31" spans="1:1" x14ac:dyDescent="0.2">
      <c r="A31" s="199" t="s">
        <v>577</v>
      </c>
    </row>
    <row r="32" spans="1:1" x14ac:dyDescent="0.2">
      <c r="A32" s="199" t="s">
        <v>415</v>
      </c>
    </row>
    <row r="33" spans="1:1" x14ac:dyDescent="0.2">
      <c r="A33" s="199" t="s">
        <v>416</v>
      </c>
    </row>
    <row r="34" spans="1:1" x14ac:dyDescent="0.2">
      <c r="A34" s="199" t="s">
        <v>417</v>
      </c>
    </row>
    <row r="35" spans="1:1" x14ac:dyDescent="0.2">
      <c r="A35" s="199" t="s">
        <v>418</v>
      </c>
    </row>
    <row r="36" spans="1:1" x14ac:dyDescent="0.2">
      <c r="A36" s="199" t="s">
        <v>419</v>
      </c>
    </row>
    <row r="37" spans="1:1" x14ac:dyDescent="0.2">
      <c r="A37" s="199" t="s">
        <v>421</v>
      </c>
    </row>
    <row r="38" spans="1:1" ht="17" thickBot="1" x14ac:dyDescent="0.25">
      <c r="A38" s="200" t="s">
        <v>567</v>
      </c>
    </row>
    <row r="39" spans="1:1" ht="17" thickBot="1" x14ac:dyDescent="0.25">
      <c r="A39" s="197"/>
    </row>
    <row r="40" spans="1:1" x14ac:dyDescent="0.2">
      <c r="A40" s="198" t="s">
        <v>265</v>
      </c>
    </row>
    <row r="41" spans="1:1" x14ac:dyDescent="0.2">
      <c r="A41" s="199" t="s">
        <v>573</v>
      </c>
    </row>
    <row r="42" spans="1:1" x14ac:dyDescent="0.2">
      <c r="A42" s="199" t="s">
        <v>411</v>
      </c>
    </row>
    <row r="43" spans="1:1" x14ac:dyDescent="0.2">
      <c r="A43" s="199" t="s">
        <v>568</v>
      </c>
    </row>
    <row r="44" spans="1:1" x14ac:dyDescent="0.2">
      <c r="A44" s="199" t="s">
        <v>560</v>
      </c>
    </row>
    <row r="45" spans="1:1" x14ac:dyDescent="0.2">
      <c r="A45" s="199" t="s">
        <v>559</v>
      </c>
    </row>
    <row r="46" spans="1:1" x14ac:dyDescent="0.2">
      <c r="A46" s="199" t="s">
        <v>441</v>
      </c>
    </row>
    <row r="47" spans="1:1" x14ac:dyDescent="0.2">
      <c r="A47" s="199" t="s">
        <v>558</v>
      </c>
    </row>
    <row r="48" spans="1:1" x14ac:dyDescent="0.2">
      <c r="A48" s="199" t="s">
        <v>572</v>
      </c>
    </row>
    <row r="49" spans="1:1" x14ac:dyDescent="0.2">
      <c r="A49" s="203" t="s">
        <v>562</v>
      </c>
    </row>
    <row r="50" spans="1:1" x14ac:dyDescent="0.2">
      <c r="A50" s="199" t="s">
        <v>563</v>
      </c>
    </row>
    <row r="51" spans="1:1" x14ac:dyDescent="0.2">
      <c r="A51" s="204" t="s">
        <v>570</v>
      </c>
    </row>
    <row r="52" spans="1:1" ht="17" thickBot="1" x14ac:dyDescent="0.25">
      <c r="A52" s="202" t="s">
        <v>554</v>
      </c>
    </row>
    <row r="53" spans="1:1" x14ac:dyDescent="0.2">
      <c r="A53" s="197"/>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EBEB"/>
  </sheetPr>
  <dimension ref="A1:A2"/>
  <sheetViews>
    <sheetView zoomScale="83" workbookViewId="0"/>
  </sheetViews>
  <sheetFormatPr baseColWidth="10" defaultColWidth="8.83203125" defaultRowHeight="16" x14ac:dyDescent="0.2"/>
  <cols>
    <col min="1" max="1" width="150.6640625" bestFit="1" customWidth="1"/>
  </cols>
  <sheetData>
    <row r="1" spans="1:1" x14ac:dyDescent="0.2">
      <c r="A1" t="s">
        <v>476</v>
      </c>
    </row>
    <row r="2" spans="1:1" ht="51" x14ac:dyDescent="0.2">
      <c r="A2" s="146" t="s">
        <v>525</v>
      </c>
    </row>
  </sheetData>
  <sheetProtection algorithmName="SHA-512" hashValue="LxKa/kGTRbGO/1dQs1QOGhNN9P1eQvesa3rG8WVWMVoPJPO1sgCPbkE8sPCjXjtphrU3IEQaKdnstSU8/e5PWg==" saltValue="kx6v4zjk6P+r02ntb8kuRQ==" spinCount="100000" sheet="1" objects="1" scenarios="1"/>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EBEB"/>
  </sheetPr>
  <dimension ref="A1:K40"/>
  <sheetViews>
    <sheetView zoomScale="89" zoomScaleNormal="89" zoomScalePageLayoutView="89" workbookViewId="0">
      <selection activeCell="D17" sqref="D17"/>
    </sheetView>
  </sheetViews>
  <sheetFormatPr baseColWidth="10" defaultColWidth="7.83203125" defaultRowHeight="16" x14ac:dyDescent="0.2"/>
  <cols>
    <col min="1" max="1" width="17.83203125" customWidth="1"/>
    <col min="2" max="2" width="57.83203125" customWidth="1"/>
    <col min="3" max="3" width="4.83203125" bestFit="1" customWidth="1"/>
    <col min="4" max="4" width="58.83203125" customWidth="1"/>
    <col min="5" max="11" width="5.1640625" customWidth="1"/>
  </cols>
  <sheetData>
    <row r="1" spans="1:11" ht="17" thickBot="1" x14ac:dyDescent="0.25">
      <c r="A1" s="151"/>
      <c r="B1" s="152"/>
      <c r="C1" s="153"/>
      <c r="D1" s="153" t="s">
        <v>539</v>
      </c>
      <c r="E1" s="154">
        <v>3</v>
      </c>
      <c r="F1" s="155">
        <v>3</v>
      </c>
      <c r="G1" s="155">
        <v>3</v>
      </c>
      <c r="H1" s="156">
        <v>3</v>
      </c>
      <c r="I1" s="157">
        <v>3</v>
      </c>
      <c r="J1" s="158">
        <v>3</v>
      </c>
      <c r="K1" s="159">
        <v>3</v>
      </c>
    </row>
    <row r="2" spans="1:11" ht="17" thickBot="1" x14ac:dyDescent="0.25">
      <c r="A2" s="151"/>
      <c r="B2" s="152"/>
      <c r="C2" s="153"/>
      <c r="D2" s="153" t="s">
        <v>540</v>
      </c>
      <c r="E2" s="160" t="s">
        <v>541</v>
      </c>
      <c r="F2" s="161" t="s">
        <v>541</v>
      </c>
      <c r="G2" s="161" t="s">
        <v>541</v>
      </c>
      <c r="H2" s="162" t="s">
        <v>541</v>
      </c>
      <c r="I2" s="163" t="s">
        <v>541</v>
      </c>
      <c r="J2" s="164" t="s">
        <v>541</v>
      </c>
      <c r="K2" s="159" t="s">
        <v>541</v>
      </c>
    </row>
    <row r="3" spans="1:11" ht="17" thickBot="1" x14ac:dyDescent="0.25">
      <c r="A3" s="151" t="s">
        <v>357</v>
      </c>
      <c r="B3" s="152" t="s">
        <v>0</v>
      </c>
      <c r="C3" s="153" t="s">
        <v>4</v>
      </c>
      <c r="D3" s="153" t="s">
        <v>317</v>
      </c>
      <c r="E3" s="154" t="s">
        <v>339</v>
      </c>
      <c r="F3" s="165" t="s">
        <v>336</v>
      </c>
      <c r="G3" s="165" t="s">
        <v>337</v>
      </c>
      <c r="H3" s="156" t="s">
        <v>335</v>
      </c>
      <c r="I3" s="157" t="s">
        <v>355</v>
      </c>
      <c r="J3" s="158" t="s">
        <v>542</v>
      </c>
      <c r="K3" s="166" t="s">
        <v>354</v>
      </c>
    </row>
    <row r="4" spans="1:11" x14ac:dyDescent="0.2">
      <c r="A4" s="474" t="s">
        <v>359</v>
      </c>
      <c r="B4" s="477" t="s">
        <v>10</v>
      </c>
      <c r="C4" s="167" t="s">
        <v>360</v>
      </c>
      <c r="D4" s="168" t="s">
        <v>361</v>
      </c>
      <c r="E4" s="169" t="s">
        <v>269</v>
      </c>
      <c r="F4" s="170" t="s">
        <v>269</v>
      </c>
      <c r="G4" s="170" t="s">
        <v>269</v>
      </c>
      <c r="H4" s="171" t="s">
        <v>269</v>
      </c>
      <c r="I4" s="172" t="s">
        <v>269</v>
      </c>
      <c r="J4" s="173" t="s">
        <v>269</v>
      </c>
      <c r="K4" s="174" t="s">
        <v>269</v>
      </c>
    </row>
    <row r="5" spans="1:11" x14ac:dyDescent="0.2">
      <c r="A5" s="475"/>
      <c r="B5" s="478"/>
      <c r="C5" s="175" t="s">
        <v>362</v>
      </c>
      <c r="D5" s="176" t="s">
        <v>11</v>
      </c>
      <c r="E5" s="177" t="s">
        <v>269</v>
      </c>
      <c r="F5" s="178" t="s">
        <v>269</v>
      </c>
      <c r="G5" s="178" t="s">
        <v>269</v>
      </c>
      <c r="H5" s="179" t="s">
        <v>269</v>
      </c>
      <c r="I5" s="180"/>
      <c r="J5" s="131" t="s">
        <v>269</v>
      </c>
      <c r="K5" s="181" t="s">
        <v>269</v>
      </c>
    </row>
    <row r="6" spans="1:11" x14ac:dyDescent="0.2">
      <c r="A6" s="475"/>
      <c r="B6" s="478"/>
      <c r="C6" s="175" t="s">
        <v>363</v>
      </c>
      <c r="D6" s="176" t="s">
        <v>14</v>
      </c>
      <c r="E6" s="177"/>
      <c r="F6" s="178" t="s">
        <v>269</v>
      </c>
      <c r="G6" s="178"/>
      <c r="H6" s="179"/>
      <c r="I6" s="180" t="s">
        <v>269</v>
      </c>
      <c r="J6" s="131" t="s">
        <v>269</v>
      </c>
      <c r="K6" s="182" t="s">
        <v>269</v>
      </c>
    </row>
    <row r="7" spans="1:11" ht="17" thickBot="1" x14ac:dyDescent="0.25">
      <c r="A7" s="476"/>
      <c r="B7" s="479"/>
      <c r="C7" s="183" t="s">
        <v>364</v>
      </c>
      <c r="D7" s="184" t="s">
        <v>15</v>
      </c>
      <c r="E7" s="185"/>
      <c r="F7" s="186"/>
      <c r="G7" s="186"/>
      <c r="H7" s="187"/>
      <c r="I7" s="188"/>
      <c r="J7" s="189"/>
      <c r="K7" s="190"/>
    </row>
    <row r="8" spans="1:11" x14ac:dyDescent="0.2">
      <c r="A8" s="474" t="s">
        <v>365</v>
      </c>
      <c r="B8" s="477" t="s">
        <v>22</v>
      </c>
      <c r="C8" s="167" t="s">
        <v>366</v>
      </c>
      <c r="D8" s="168" t="s">
        <v>17</v>
      </c>
      <c r="E8" s="169"/>
      <c r="F8" s="191" t="s">
        <v>269</v>
      </c>
      <c r="G8" s="191" t="s">
        <v>269</v>
      </c>
      <c r="H8" s="171" t="s">
        <v>543</v>
      </c>
      <c r="I8" s="172"/>
      <c r="J8" s="173"/>
      <c r="K8" s="174"/>
    </row>
    <row r="9" spans="1:11" ht="17" thickBot="1" x14ac:dyDescent="0.25">
      <c r="A9" s="476"/>
      <c r="B9" s="479"/>
      <c r="C9" s="183" t="s">
        <v>367</v>
      </c>
      <c r="D9" s="184" t="s">
        <v>23</v>
      </c>
      <c r="E9" s="185" t="s">
        <v>269</v>
      </c>
      <c r="F9" s="192" t="s">
        <v>269</v>
      </c>
      <c r="G9" s="192" t="s">
        <v>269</v>
      </c>
      <c r="H9" s="187"/>
      <c r="I9" s="188" t="s">
        <v>269</v>
      </c>
      <c r="J9" s="189" t="s">
        <v>269</v>
      </c>
      <c r="K9" s="193"/>
    </row>
    <row r="10" spans="1:11" x14ac:dyDescent="0.2">
      <c r="A10" s="474" t="s">
        <v>368</v>
      </c>
      <c r="B10" s="477" t="s">
        <v>35</v>
      </c>
      <c r="C10" s="167" t="s">
        <v>369</v>
      </c>
      <c r="D10" s="168" t="s">
        <v>28</v>
      </c>
      <c r="E10" s="169"/>
      <c r="F10" s="191" t="s">
        <v>269</v>
      </c>
      <c r="G10" s="191" t="s">
        <v>269</v>
      </c>
      <c r="H10" s="171" t="s">
        <v>543</v>
      </c>
      <c r="I10" s="172"/>
      <c r="J10" s="173"/>
      <c r="K10" s="174" t="s">
        <v>269</v>
      </c>
    </row>
    <row r="11" spans="1:11" x14ac:dyDescent="0.2">
      <c r="A11" s="475"/>
      <c r="B11" s="478"/>
      <c r="C11" s="175" t="s">
        <v>370</v>
      </c>
      <c r="D11" s="176" t="s">
        <v>37</v>
      </c>
      <c r="E11" s="177" t="s">
        <v>269</v>
      </c>
      <c r="F11" s="194"/>
      <c r="G11" s="194"/>
      <c r="H11" s="179"/>
      <c r="I11" s="180"/>
      <c r="J11" s="131"/>
      <c r="K11" s="182"/>
    </row>
    <row r="12" spans="1:11" x14ac:dyDescent="0.2">
      <c r="A12" s="475"/>
      <c r="B12" s="478"/>
      <c r="C12" s="175" t="s">
        <v>371</v>
      </c>
      <c r="D12" s="176" t="s">
        <v>41</v>
      </c>
      <c r="E12" s="177"/>
      <c r="F12" s="194"/>
      <c r="G12" s="194"/>
      <c r="H12" s="179"/>
      <c r="I12" s="180"/>
      <c r="J12" s="131"/>
      <c r="K12" s="182"/>
    </row>
    <row r="13" spans="1:11" x14ac:dyDescent="0.2">
      <c r="A13" s="475"/>
      <c r="B13" s="478"/>
      <c r="C13" s="175" t="s">
        <v>372</v>
      </c>
      <c r="D13" s="176" t="s">
        <v>45</v>
      </c>
      <c r="E13" s="177"/>
      <c r="F13" s="194" t="s">
        <v>269</v>
      </c>
      <c r="G13" s="194" t="s">
        <v>269</v>
      </c>
      <c r="H13" s="179"/>
      <c r="I13" s="180"/>
      <c r="J13" s="131"/>
      <c r="K13" s="182"/>
    </row>
    <row r="14" spans="1:11" x14ac:dyDescent="0.2">
      <c r="A14" s="475"/>
      <c r="B14" s="478"/>
      <c r="C14" s="175" t="s">
        <v>373</v>
      </c>
      <c r="D14" s="176" t="s">
        <v>49</v>
      </c>
      <c r="E14" s="177"/>
      <c r="F14" s="194" t="s">
        <v>269</v>
      </c>
      <c r="G14" s="194" t="s">
        <v>269</v>
      </c>
      <c r="H14" s="179" t="s">
        <v>543</v>
      </c>
      <c r="I14" s="180"/>
      <c r="J14" s="131"/>
      <c r="K14" s="182"/>
    </row>
    <row r="15" spans="1:11" x14ac:dyDescent="0.2">
      <c r="A15" s="475"/>
      <c r="B15" s="478"/>
      <c r="C15" s="175" t="s">
        <v>374</v>
      </c>
      <c r="D15" s="176" t="s">
        <v>52</v>
      </c>
      <c r="E15" s="177"/>
      <c r="F15" s="194" t="s">
        <v>269</v>
      </c>
      <c r="G15" s="194"/>
      <c r="H15" s="179" t="s">
        <v>543</v>
      </c>
      <c r="I15" s="180"/>
      <c r="J15" s="131"/>
      <c r="K15" s="182"/>
    </row>
    <row r="16" spans="1:11" x14ac:dyDescent="0.2">
      <c r="A16" s="475"/>
      <c r="B16" s="478"/>
      <c r="C16" s="175" t="s">
        <v>375</v>
      </c>
      <c r="D16" s="176" t="s">
        <v>53</v>
      </c>
      <c r="E16" s="177" t="s">
        <v>269</v>
      </c>
      <c r="F16" s="194"/>
      <c r="G16" s="194"/>
      <c r="H16" s="179"/>
      <c r="I16" s="180" t="s">
        <v>269</v>
      </c>
      <c r="J16" s="131"/>
      <c r="K16" s="182"/>
    </row>
    <row r="17" spans="1:11" x14ac:dyDescent="0.2">
      <c r="A17" s="475"/>
      <c r="B17" s="478"/>
      <c r="C17" s="175" t="s">
        <v>376</v>
      </c>
      <c r="D17" s="176" t="s">
        <v>58</v>
      </c>
      <c r="E17" s="177"/>
      <c r="F17" s="194" t="s">
        <v>269</v>
      </c>
      <c r="G17" s="194" t="s">
        <v>269</v>
      </c>
      <c r="H17" s="179"/>
      <c r="I17" s="180" t="s">
        <v>269</v>
      </c>
      <c r="J17" s="131"/>
      <c r="K17" s="182" t="s">
        <v>269</v>
      </c>
    </row>
    <row r="18" spans="1:11" ht="17" thickBot="1" x14ac:dyDescent="0.25">
      <c r="A18" s="476"/>
      <c r="B18" s="479"/>
      <c r="C18" s="183" t="s">
        <v>377</v>
      </c>
      <c r="D18" s="184" t="s">
        <v>181</v>
      </c>
      <c r="E18" s="185"/>
      <c r="F18" s="192"/>
      <c r="G18" s="192"/>
      <c r="H18" s="187" t="s">
        <v>269</v>
      </c>
      <c r="I18" s="188"/>
      <c r="J18" s="189"/>
      <c r="K18" s="190"/>
    </row>
    <row r="19" spans="1:11" x14ac:dyDescent="0.2">
      <c r="A19" s="474" t="s">
        <v>378</v>
      </c>
      <c r="B19" s="477" t="s">
        <v>70</v>
      </c>
      <c r="C19" s="167" t="s">
        <v>379</v>
      </c>
      <c r="D19" s="168" t="s">
        <v>64</v>
      </c>
      <c r="E19" s="169"/>
      <c r="F19" s="191" t="s">
        <v>269</v>
      </c>
      <c r="G19" s="191"/>
      <c r="H19" s="171" t="s">
        <v>544</v>
      </c>
      <c r="I19" s="172"/>
      <c r="J19" s="173"/>
      <c r="K19" s="195" t="s">
        <v>269</v>
      </c>
    </row>
    <row r="20" spans="1:11" x14ac:dyDescent="0.2">
      <c r="A20" s="475"/>
      <c r="B20" s="478"/>
      <c r="C20" s="175" t="s">
        <v>380</v>
      </c>
      <c r="D20" s="176" t="s">
        <v>72</v>
      </c>
      <c r="E20" s="177"/>
      <c r="F20" s="194" t="s">
        <v>269</v>
      </c>
      <c r="G20" s="194" t="s">
        <v>269</v>
      </c>
      <c r="H20" s="179" t="s">
        <v>544</v>
      </c>
      <c r="I20" s="180" t="s">
        <v>269</v>
      </c>
      <c r="J20" s="131"/>
      <c r="K20" s="181" t="s">
        <v>269</v>
      </c>
    </row>
    <row r="21" spans="1:11" x14ac:dyDescent="0.2">
      <c r="A21" s="475"/>
      <c r="B21" s="478"/>
      <c r="C21" s="175" t="s">
        <v>381</v>
      </c>
      <c r="D21" s="176" t="s">
        <v>75</v>
      </c>
      <c r="E21" s="177" t="s">
        <v>269</v>
      </c>
      <c r="F21" s="194" t="s">
        <v>269</v>
      </c>
      <c r="G21" s="194"/>
      <c r="H21" s="179"/>
      <c r="I21" s="180"/>
      <c r="J21" s="131"/>
      <c r="K21" s="182"/>
    </row>
    <row r="22" spans="1:11" x14ac:dyDescent="0.2">
      <c r="A22" s="475"/>
      <c r="B22" s="478"/>
      <c r="C22" s="175" t="s">
        <v>382</v>
      </c>
      <c r="D22" s="176" t="s">
        <v>79</v>
      </c>
      <c r="E22" s="177"/>
      <c r="F22" s="194"/>
      <c r="G22" s="194" t="s">
        <v>269</v>
      </c>
      <c r="H22" s="179"/>
      <c r="I22" s="180"/>
      <c r="J22" s="131"/>
      <c r="K22" s="182" t="s">
        <v>269</v>
      </c>
    </row>
    <row r="23" spans="1:11" ht="17" thickBot="1" x14ac:dyDescent="0.25">
      <c r="A23" s="476"/>
      <c r="B23" s="479"/>
      <c r="C23" s="183" t="s">
        <v>383</v>
      </c>
      <c r="D23" s="184" t="s">
        <v>84</v>
      </c>
      <c r="E23" s="185"/>
      <c r="F23" s="192"/>
      <c r="G23" s="192"/>
      <c r="H23" s="187"/>
      <c r="I23" s="188" t="s">
        <v>269</v>
      </c>
      <c r="J23" s="189"/>
      <c r="K23" s="190"/>
    </row>
    <row r="24" spans="1:11" x14ac:dyDescent="0.2">
      <c r="A24" s="474" t="s">
        <v>384</v>
      </c>
      <c r="B24" s="477" t="s">
        <v>92</v>
      </c>
      <c r="C24" s="167" t="s">
        <v>385</v>
      </c>
      <c r="D24" s="168" t="s">
        <v>86</v>
      </c>
      <c r="E24" s="169"/>
      <c r="F24" s="191" t="s">
        <v>269</v>
      </c>
      <c r="G24" s="191" t="s">
        <v>269</v>
      </c>
      <c r="H24" s="171" t="s">
        <v>269</v>
      </c>
      <c r="I24" s="172"/>
      <c r="J24" s="173"/>
      <c r="K24" s="195" t="s">
        <v>269</v>
      </c>
    </row>
    <row r="25" spans="1:11" x14ac:dyDescent="0.2">
      <c r="A25" s="475"/>
      <c r="B25" s="478"/>
      <c r="C25" s="175" t="s">
        <v>386</v>
      </c>
      <c r="D25" s="176" t="s">
        <v>94</v>
      </c>
      <c r="E25" s="177"/>
      <c r="F25" s="194"/>
      <c r="G25" s="194"/>
      <c r="H25" s="179"/>
      <c r="I25" s="180"/>
      <c r="J25" s="131"/>
      <c r="K25" s="182"/>
    </row>
    <row r="26" spans="1:11" ht="17" thickBot="1" x14ac:dyDescent="0.25">
      <c r="A26" s="476"/>
      <c r="B26" s="479"/>
      <c r="C26" s="183" t="s">
        <v>387</v>
      </c>
      <c r="D26" s="184" t="s">
        <v>95</v>
      </c>
      <c r="E26" s="185"/>
      <c r="F26" s="192"/>
      <c r="G26" s="192"/>
      <c r="H26" s="187"/>
      <c r="I26" s="188" t="s">
        <v>269</v>
      </c>
      <c r="J26" s="189"/>
      <c r="K26" s="193"/>
    </row>
    <row r="27" spans="1:11" x14ac:dyDescent="0.2">
      <c r="A27" s="474" t="s">
        <v>388</v>
      </c>
      <c r="B27" s="477" t="s">
        <v>103</v>
      </c>
      <c r="C27" s="167" t="s">
        <v>389</v>
      </c>
      <c r="D27" s="168" t="s">
        <v>97</v>
      </c>
      <c r="E27" s="169"/>
      <c r="F27" s="191"/>
      <c r="G27" s="191" t="s">
        <v>269</v>
      </c>
      <c r="H27" s="171" t="s">
        <v>543</v>
      </c>
      <c r="I27" s="172"/>
      <c r="J27" s="173"/>
      <c r="K27" s="174" t="s">
        <v>269</v>
      </c>
    </row>
    <row r="28" spans="1:11" x14ac:dyDescent="0.2">
      <c r="A28" s="475"/>
      <c r="B28" s="478"/>
      <c r="C28" s="175" t="s">
        <v>390</v>
      </c>
      <c r="D28" s="176" t="s">
        <v>105</v>
      </c>
      <c r="E28" s="177"/>
      <c r="F28" s="194"/>
      <c r="G28" s="194"/>
      <c r="H28" s="179"/>
      <c r="I28" s="180"/>
      <c r="J28" s="131"/>
      <c r="K28" s="182"/>
    </row>
    <row r="29" spans="1:11" x14ac:dyDescent="0.2">
      <c r="A29" s="475"/>
      <c r="B29" s="478"/>
      <c r="C29" s="175" t="s">
        <v>391</v>
      </c>
      <c r="D29" s="176" t="s">
        <v>107</v>
      </c>
      <c r="E29" s="177"/>
      <c r="F29" s="194"/>
      <c r="G29" s="194" t="s">
        <v>269</v>
      </c>
      <c r="H29" s="179" t="s">
        <v>543</v>
      </c>
      <c r="I29" s="180" t="s">
        <v>269</v>
      </c>
      <c r="J29" s="131" t="s">
        <v>269</v>
      </c>
      <c r="K29" s="196"/>
    </row>
    <row r="30" spans="1:11" ht="17" thickBot="1" x14ac:dyDescent="0.25">
      <c r="A30" s="476"/>
      <c r="B30" s="479"/>
      <c r="C30" s="183" t="s">
        <v>392</v>
      </c>
      <c r="D30" s="184" t="s">
        <v>205</v>
      </c>
      <c r="E30" s="185" t="s">
        <v>269</v>
      </c>
      <c r="F30" s="192"/>
      <c r="G30" s="192"/>
      <c r="H30" s="187"/>
      <c r="I30" s="188" t="s">
        <v>269</v>
      </c>
      <c r="J30" s="189"/>
      <c r="K30" s="190"/>
    </row>
    <row r="31" spans="1:11" x14ac:dyDescent="0.2">
      <c r="A31" s="474" t="s">
        <v>393</v>
      </c>
      <c r="B31" s="477" t="s">
        <v>213</v>
      </c>
      <c r="C31" s="167" t="s">
        <v>394</v>
      </c>
      <c r="D31" s="168" t="s">
        <v>395</v>
      </c>
      <c r="E31" s="169" t="s">
        <v>269</v>
      </c>
      <c r="F31" s="191" t="s">
        <v>269</v>
      </c>
      <c r="G31" s="191" t="s">
        <v>269</v>
      </c>
      <c r="H31" s="171" t="s">
        <v>269</v>
      </c>
      <c r="I31" s="172" t="s">
        <v>269</v>
      </c>
      <c r="J31" s="173" t="s">
        <v>269</v>
      </c>
      <c r="K31" s="174" t="s">
        <v>269</v>
      </c>
    </row>
    <row r="32" spans="1:11" x14ac:dyDescent="0.2">
      <c r="A32" s="475"/>
      <c r="B32" s="478"/>
      <c r="C32" s="175" t="s">
        <v>396</v>
      </c>
      <c r="D32" s="176" t="s">
        <v>121</v>
      </c>
      <c r="E32" s="177"/>
      <c r="F32" s="194" t="s">
        <v>269</v>
      </c>
      <c r="G32" s="194" t="s">
        <v>269</v>
      </c>
      <c r="H32" s="179" t="s">
        <v>269</v>
      </c>
      <c r="I32" s="180" t="s">
        <v>269</v>
      </c>
      <c r="J32" s="131" t="s">
        <v>269</v>
      </c>
      <c r="K32" s="182" t="s">
        <v>269</v>
      </c>
    </row>
    <row r="33" spans="1:11" x14ac:dyDescent="0.2">
      <c r="A33" s="475"/>
      <c r="B33" s="478"/>
      <c r="C33" s="175" t="s">
        <v>397</v>
      </c>
      <c r="D33" s="176" t="s">
        <v>398</v>
      </c>
      <c r="E33" s="177" t="s">
        <v>269</v>
      </c>
      <c r="F33" s="194" t="s">
        <v>269</v>
      </c>
      <c r="G33" s="194" t="s">
        <v>269</v>
      </c>
      <c r="H33" s="179" t="s">
        <v>269</v>
      </c>
      <c r="I33" s="180" t="s">
        <v>269</v>
      </c>
      <c r="J33" s="131" t="s">
        <v>269</v>
      </c>
      <c r="K33" s="181" t="s">
        <v>269</v>
      </c>
    </row>
    <row r="34" spans="1:11" x14ac:dyDescent="0.2">
      <c r="A34" s="475"/>
      <c r="B34" s="478"/>
      <c r="C34" s="175" t="s">
        <v>399</v>
      </c>
      <c r="D34" s="176" t="s">
        <v>131</v>
      </c>
      <c r="E34" s="177" t="s">
        <v>269</v>
      </c>
      <c r="F34" s="194" t="s">
        <v>269</v>
      </c>
      <c r="G34" s="194" t="s">
        <v>269</v>
      </c>
      <c r="H34" s="179"/>
      <c r="I34" s="180" t="s">
        <v>269</v>
      </c>
      <c r="J34" s="131"/>
      <c r="K34" s="182"/>
    </row>
    <row r="35" spans="1:11" x14ac:dyDescent="0.2">
      <c r="A35" s="475"/>
      <c r="B35" s="478"/>
      <c r="C35" s="175" t="s">
        <v>400</v>
      </c>
      <c r="D35" s="176" t="s">
        <v>139</v>
      </c>
      <c r="E35" s="177"/>
      <c r="F35" s="178" t="s">
        <v>269</v>
      </c>
      <c r="G35" s="178" t="s">
        <v>269</v>
      </c>
      <c r="H35" s="179" t="s">
        <v>269</v>
      </c>
      <c r="I35" s="180" t="s">
        <v>269</v>
      </c>
      <c r="J35" s="131" t="s">
        <v>269</v>
      </c>
      <c r="K35" s="182"/>
    </row>
    <row r="36" spans="1:11" x14ac:dyDescent="0.2">
      <c r="A36" s="475"/>
      <c r="B36" s="478"/>
      <c r="C36" s="175" t="s">
        <v>401</v>
      </c>
      <c r="D36" s="176" t="s">
        <v>402</v>
      </c>
      <c r="E36" s="177"/>
      <c r="F36" s="178"/>
      <c r="G36" s="178"/>
      <c r="H36" s="179"/>
      <c r="I36" s="180" t="s">
        <v>269</v>
      </c>
      <c r="J36" s="131" t="s">
        <v>269</v>
      </c>
      <c r="K36" s="182"/>
    </row>
    <row r="37" spans="1:11" ht="17" thickBot="1" x14ac:dyDescent="0.25">
      <c r="A37" s="476"/>
      <c r="B37" s="479"/>
      <c r="C37" s="183" t="s">
        <v>403</v>
      </c>
      <c r="D37" s="184" t="s">
        <v>149</v>
      </c>
      <c r="E37" s="185"/>
      <c r="F37" s="186"/>
      <c r="G37" s="186"/>
      <c r="H37" s="187"/>
      <c r="I37" s="188"/>
      <c r="J37" s="189"/>
      <c r="K37" s="190"/>
    </row>
    <row r="39" spans="1:11" x14ac:dyDescent="0.2">
      <c r="D39" s="26" t="s">
        <v>545</v>
      </c>
    </row>
    <row r="40" spans="1:11" ht="51" x14ac:dyDescent="0.2">
      <c r="D40" s="146" t="s">
        <v>546</v>
      </c>
    </row>
  </sheetData>
  <mergeCells count="14">
    <mergeCell ref="B31:B37"/>
    <mergeCell ref="B19:B23"/>
    <mergeCell ref="B24:B26"/>
    <mergeCell ref="B27:B30"/>
    <mergeCell ref="B4:B7"/>
    <mergeCell ref="B8:B9"/>
    <mergeCell ref="B10:B18"/>
    <mergeCell ref="A27:A30"/>
    <mergeCell ref="A31:A37"/>
    <mergeCell ref="A4:A7"/>
    <mergeCell ref="A8:A9"/>
    <mergeCell ref="A10:A18"/>
    <mergeCell ref="A19:A23"/>
    <mergeCell ref="A24:A26"/>
  </mergeCells>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4:O100"/>
  <sheetViews>
    <sheetView topLeftCell="E1" workbookViewId="0">
      <selection activeCell="E8" sqref="E8"/>
    </sheetView>
  </sheetViews>
  <sheetFormatPr baseColWidth="10" defaultColWidth="8.83203125" defaultRowHeight="16" x14ac:dyDescent="0.2"/>
  <cols>
    <col min="1" max="2" width="0" hidden="1" customWidth="1"/>
    <col min="3" max="3" width="68.6640625" customWidth="1"/>
    <col min="4" max="4" width="68" customWidth="1"/>
    <col min="5" max="5" width="15.33203125" customWidth="1"/>
    <col min="6" max="6" width="2.1640625" customWidth="1"/>
    <col min="7" max="7" width="21" customWidth="1"/>
    <col min="8" max="8" width="2.1640625" customWidth="1"/>
    <col min="9" max="9" width="11.5" customWidth="1"/>
    <col min="10" max="10" width="8.6640625" customWidth="1"/>
    <col min="11" max="11" width="34" customWidth="1"/>
    <col min="12" max="12" width="36.6640625" customWidth="1"/>
    <col min="15" max="15" width="23.83203125" customWidth="1"/>
  </cols>
  <sheetData>
    <row r="4" spans="3:15" x14ac:dyDescent="0.2">
      <c r="C4" s="26" t="s">
        <v>278</v>
      </c>
      <c r="D4" s="26" t="s">
        <v>404</v>
      </c>
      <c r="E4" s="148" t="s">
        <v>267</v>
      </c>
      <c r="G4" s="148" t="s">
        <v>267</v>
      </c>
      <c r="I4" s="148" t="s">
        <v>267</v>
      </c>
      <c r="K4" s="101"/>
      <c r="L4" s="101"/>
      <c r="O4" s="26" t="s">
        <v>479</v>
      </c>
    </row>
    <row r="5" spans="3:15" ht="15.75" customHeight="1" x14ac:dyDescent="0.2">
      <c r="C5" t="s">
        <v>235</v>
      </c>
      <c r="D5" t="s">
        <v>153</v>
      </c>
      <c r="E5" s="28" t="s">
        <v>340</v>
      </c>
      <c r="G5" s="122" t="s">
        <v>358</v>
      </c>
      <c r="I5" s="28" t="s">
        <v>272</v>
      </c>
      <c r="O5" s="28" t="s">
        <v>480</v>
      </c>
    </row>
    <row r="6" spans="3:15" ht="15.75" customHeight="1" x14ac:dyDescent="0.2">
      <c r="C6" t="s">
        <v>236</v>
      </c>
      <c r="D6" t="s">
        <v>154</v>
      </c>
      <c r="E6" s="28" t="s">
        <v>341</v>
      </c>
      <c r="G6" s="28" t="s">
        <v>338</v>
      </c>
      <c r="I6" s="28" t="s">
        <v>274</v>
      </c>
      <c r="K6" s="102"/>
      <c r="L6" s="102"/>
      <c r="O6" s="28" t="s">
        <v>481</v>
      </c>
    </row>
    <row r="7" spans="3:15" ht="15.75" customHeight="1" x14ac:dyDescent="0.2">
      <c r="C7" t="s">
        <v>237</v>
      </c>
      <c r="D7" t="s">
        <v>160</v>
      </c>
      <c r="E7" s="28" t="s">
        <v>529</v>
      </c>
      <c r="G7" s="28" t="s">
        <v>337</v>
      </c>
      <c r="I7" s="28" t="s">
        <v>275</v>
      </c>
      <c r="K7" s="102"/>
      <c r="L7" s="102"/>
      <c r="O7" s="28" t="s">
        <v>482</v>
      </c>
    </row>
    <row r="8" spans="3:15" ht="15.75" customHeight="1" x14ac:dyDescent="0.2">
      <c r="C8" t="s">
        <v>238</v>
      </c>
      <c r="D8" t="s">
        <v>166</v>
      </c>
      <c r="E8" s="28" t="s">
        <v>343</v>
      </c>
      <c r="G8" s="28" t="s">
        <v>339</v>
      </c>
      <c r="I8" s="28" t="s">
        <v>273</v>
      </c>
      <c r="K8" s="102"/>
      <c r="L8" s="102"/>
    </row>
    <row r="9" spans="3:15" ht="15.75" customHeight="1" x14ac:dyDescent="0.2">
      <c r="C9" t="s">
        <v>239</v>
      </c>
      <c r="D9" t="s">
        <v>169</v>
      </c>
      <c r="E9" s="28" t="s">
        <v>527</v>
      </c>
      <c r="G9" s="28" t="s">
        <v>335</v>
      </c>
      <c r="I9" s="28" t="s">
        <v>332</v>
      </c>
      <c r="K9" s="102"/>
      <c r="L9" s="102"/>
    </row>
    <row r="10" spans="3:15" ht="15.75" customHeight="1" x14ac:dyDescent="0.2">
      <c r="C10" t="s">
        <v>240</v>
      </c>
      <c r="D10" t="s">
        <v>319</v>
      </c>
      <c r="E10" s="28" t="s">
        <v>528</v>
      </c>
      <c r="F10" s="27"/>
      <c r="G10" s="28" t="s">
        <v>354</v>
      </c>
    </row>
    <row r="11" spans="3:15" ht="15.75" customHeight="1" x14ac:dyDescent="0.2">
      <c r="C11" t="s">
        <v>241</v>
      </c>
      <c r="D11" t="s">
        <v>320</v>
      </c>
      <c r="E11" s="28"/>
      <c r="F11" s="27"/>
      <c r="G11" s="28" t="s">
        <v>332</v>
      </c>
    </row>
    <row r="12" spans="3:15" ht="15.75" customHeight="1" x14ac:dyDescent="0.2">
      <c r="C12" t="s">
        <v>242</v>
      </c>
      <c r="D12" t="s">
        <v>42</v>
      </c>
      <c r="F12" s="27"/>
      <c r="G12" s="28" t="s">
        <v>336</v>
      </c>
    </row>
    <row r="13" spans="3:15" ht="15.75" customHeight="1" x14ac:dyDescent="0.2">
      <c r="C13" t="s">
        <v>243</v>
      </c>
      <c r="D13" t="s">
        <v>321</v>
      </c>
      <c r="G13" s="28" t="s">
        <v>355</v>
      </c>
    </row>
    <row r="14" spans="3:15" ht="15.75" customHeight="1" x14ac:dyDescent="0.2">
      <c r="C14" t="s">
        <v>244</v>
      </c>
      <c r="D14" t="s">
        <v>322</v>
      </c>
      <c r="G14" s="28" t="s">
        <v>274</v>
      </c>
    </row>
    <row r="15" spans="3:15" ht="15.75" customHeight="1" x14ac:dyDescent="0.2">
      <c r="C15" t="s">
        <v>245</v>
      </c>
      <c r="D15" t="s">
        <v>323</v>
      </c>
      <c r="G15" s="28" t="s">
        <v>273</v>
      </c>
    </row>
    <row r="16" spans="3:15" ht="15.75" customHeight="1" x14ac:dyDescent="0.2">
      <c r="C16" t="s">
        <v>246</v>
      </c>
      <c r="D16" t="s">
        <v>178</v>
      </c>
      <c r="G16" s="28" t="s">
        <v>356</v>
      </c>
    </row>
    <row r="17" spans="3:4" ht="15.75" customHeight="1" x14ac:dyDescent="0.2">
      <c r="C17" t="s">
        <v>247</v>
      </c>
      <c r="D17" t="s">
        <v>324</v>
      </c>
    </row>
    <row r="18" spans="3:4" ht="15.75" customHeight="1" x14ac:dyDescent="0.2">
      <c r="C18" t="s">
        <v>248</v>
      </c>
      <c r="D18" t="s">
        <v>325</v>
      </c>
    </row>
    <row r="19" spans="3:4" ht="15.75" customHeight="1" x14ac:dyDescent="0.2">
      <c r="C19" t="s">
        <v>249</v>
      </c>
      <c r="D19" t="s">
        <v>65</v>
      </c>
    </row>
    <row r="20" spans="3:4" ht="15.75" customHeight="1" x14ac:dyDescent="0.2">
      <c r="C20" t="s">
        <v>250</v>
      </c>
      <c r="D20" t="s">
        <v>188</v>
      </c>
    </row>
    <row r="21" spans="3:4" ht="15.75" customHeight="1" x14ac:dyDescent="0.2">
      <c r="C21" t="s">
        <v>251</v>
      </c>
      <c r="D21" t="s">
        <v>190</v>
      </c>
    </row>
    <row r="22" spans="3:4" ht="15.75" customHeight="1" x14ac:dyDescent="0.2">
      <c r="C22" t="s">
        <v>252</v>
      </c>
      <c r="D22" t="s">
        <v>326</v>
      </c>
    </row>
    <row r="23" spans="3:4" ht="15.75" customHeight="1" x14ac:dyDescent="0.2">
      <c r="C23" t="s">
        <v>253</v>
      </c>
      <c r="D23" t="s">
        <v>193</v>
      </c>
    </row>
    <row r="24" spans="3:4" ht="15.75" customHeight="1" x14ac:dyDescent="0.2">
      <c r="C24" t="s">
        <v>254</v>
      </c>
      <c r="D24" t="s">
        <v>194</v>
      </c>
    </row>
    <row r="25" spans="3:4" ht="15.75" customHeight="1" x14ac:dyDescent="0.2">
      <c r="C25" t="s">
        <v>255</v>
      </c>
      <c r="D25" t="s">
        <v>195</v>
      </c>
    </row>
    <row r="26" spans="3:4" ht="15.75" customHeight="1" x14ac:dyDescent="0.2">
      <c r="C26" t="s">
        <v>256</v>
      </c>
      <c r="D26" t="s">
        <v>198</v>
      </c>
    </row>
    <row r="27" spans="3:4" ht="15.75" customHeight="1" x14ac:dyDescent="0.2">
      <c r="C27" t="s">
        <v>257</v>
      </c>
      <c r="D27" t="s">
        <v>201</v>
      </c>
    </row>
    <row r="28" spans="3:4" ht="15.75" customHeight="1" x14ac:dyDescent="0.2">
      <c r="C28" t="s">
        <v>258</v>
      </c>
      <c r="D28" t="s">
        <v>202</v>
      </c>
    </row>
    <row r="29" spans="3:4" ht="15.75" customHeight="1" x14ac:dyDescent="0.2">
      <c r="C29" t="s">
        <v>259</v>
      </c>
      <c r="D29" t="s">
        <v>327</v>
      </c>
    </row>
    <row r="30" spans="3:4" ht="15.75" customHeight="1" x14ac:dyDescent="0.2">
      <c r="C30" t="s">
        <v>260</v>
      </c>
      <c r="D30" t="s">
        <v>328</v>
      </c>
    </row>
    <row r="31" spans="3:4" ht="15.75" customHeight="1" x14ac:dyDescent="0.2">
      <c r="C31" t="s">
        <v>261</v>
      </c>
      <c r="D31" t="s">
        <v>215</v>
      </c>
    </row>
    <row r="32" spans="3:4" ht="15.75" customHeight="1" x14ac:dyDescent="0.2">
      <c r="C32" t="s">
        <v>263</v>
      </c>
      <c r="D32" t="s">
        <v>329</v>
      </c>
    </row>
    <row r="33" spans="3:4" ht="15.75" customHeight="1" x14ac:dyDescent="0.2">
      <c r="C33" t="s">
        <v>264</v>
      </c>
      <c r="D33" t="s">
        <v>220</v>
      </c>
    </row>
    <row r="34" spans="3:4" ht="15.75" customHeight="1" x14ac:dyDescent="0.2">
      <c r="C34" t="s">
        <v>266</v>
      </c>
      <c r="D34" t="s">
        <v>226</v>
      </c>
    </row>
    <row r="35" spans="3:4" ht="15.75" customHeight="1" x14ac:dyDescent="0.2"/>
    <row r="36" spans="3:4" ht="15.75" customHeight="1" x14ac:dyDescent="0.2">
      <c r="C36" t="s">
        <v>234</v>
      </c>
      <c r="D36" t="s">
        <v>318</v>
      </c>
    </row>
    <row r="37" spans="3:4" ht="15.75" customHeight="1" x14ac:dyDescent="0.2">
      <c r="C37" t="s">
        <v>484</v>
      </c>
      <c r="D37" t="s">
        <v>210</v>
      </c>
    </row>
    <row r="38" spans="3:4" ht="15.75" customHeight="1" x14ac:dyDescent="0.2">
      <c r="C38" t="s">
        <v>262</v>
      </c>
      <c r="D38" t="s">
        <v>125</v>
      </c>
    </row>
    <row r="39" spans="3:4" ht="15.75" customHeight="1" x14ac:dyDescent="0.2">
      <c r="C39" t="s">
        <v>265</v>
      </c>
      <c r="D39" t="s">
        <v>143</v>
      </c>
    </row>
    <row r="40" spans="3:4" ht="15.75" customHeight="1" x14ac:dyDescent="0.2"/>
    <row r="41" spans="3:4" ht="15.75" customHeight="1" x14ac:dyDescent="0.2"/>
    <row r="42" spans="3:4" ht="15.75" customHeight="1" x14ac:dyDescent="0.2"/>
    <row r="43" spans="3:4" ht="15.75" customHeight="1" x14ac:dyDescent="0.2"/>
    <row r="44" spans="3:4" ht="15.75" customHeight="1" x14ac:dyDescent="0.2"/>
    <row r="45" spans="3:4" ht="15.75" customHeight="1" x14ac:dyDescent="0.2"/>
    <row r="46" spans="3:4" ht="15.75" customHeight="1" x14ac:dyDescent="0.2"/>
    <row r="47" spans="3:4" ht="15.75" customHeight="1" x14ac:dyDescent="0.2"/>
    <row r="48" spans="3: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sheetProtection algorithmName="SHA-512" hashValue="JWaNVFT8UrNsY2WkG8YhpXRgvfyNNcoS8cKVJOxk9m0Fxk7pai5pPixfteqr+0nsbYnxiLN6GjX5CZGZ2wnOTA==" saltValue="ufizMuX/EN8p5fsL2hv0Ug==" spinCount="100000" sheet="1" selectLockedCells="1" selectUnlockedCells="1"/>
  <sortState xmlns:xlrd2="http://schemas.microsoft.com/office/spreadsheetml/2017/richdata2" ref="G5:G16">
    <sortCondition ref="G5:G16"/>
  </sortState>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6"/>
  <sheetViews>
    <sheetView workbookViewId="0">
      <selection activeCell="A3" sqref="A3"/>
    </sheetView>
  </sheetViews>
  <sheetFormatPr baseColWidth="10" defaultColWidth="8.83203125" defaultRowHeight="16" x14ac:dyDescent="0.2"/>
  <cols>
    <col min="1" max="1" width="20.6640625" style="122" customWidth="1"/>
    <col min="2" max="2" width="15.5" style="122" bestFit="1" customWidth="1"/>
    <col min="4" max="4" width="8.83203125" style="122"/>
    <col min="5" max="5" width="12.33203125" style="77" bestFit="1" customWidth="1"/>
    <col min="7" max="7" width="13.1640625" style="122" customWidth="1"/>
    <col min="8" max="8" width="15.5" bestFit="1" customWidth="1"/>
    <col min="9" max="9" width="8.83203125" style="122"/>
  </cols>
  <sheetData>
    <row r="1" spans="1:9" x14ac:dyDescent="0.2">
      <c r="A1" s="127" t="s">
        <v>496</v>
      </c>
      <c r="B1" s="128" t="s">
        <v>502</v>
      </c>
      <c r="D1" s="129" t="s">
        <v>505</v>
      </c>
      <c r="E1" s="128" t="str">
        <f>VLOOKUP('Fase 1-3'!I10,$A$1:$B$6,2,0)</f>
        <v>-</v>
      </c>
      <c r="G1" s="128" t="s">
        <v>513</v>
      </c>
      <c r="H1" s="128" t="str">
        <f>IF(COUNTIF(E1:E4,"&lt;2")=0,"ja","nee")</f>
        <v>ja</v>
      </c>
      <c r="I1" s="122">
        <f>COUNTIF(E1:E4,"&lt;2")</f>
        <v>0</v>
      </c>
    </row>
    <row r="2" spans="1:9" x14ac:dyDescent="0.2">
      <c r="A2" s="141" t="s">
        <v>497</v>
      </c>
      <c r="B2" s="129">
        <v>3</v>
      </c>
      <c r="D2" s="129" t="s">
        <v>506</v>
      </c>
      <c r="E2" s="128" t="str">
        <f>VLOOKUP('Fase 1-3'!I12,$A$1:$B$6,2,0)</f>
        <v>-</v>
      </c>
      <c r="G2" s="128" t="s">
        <v>514</v>
      </c>
      <c r="H2" s="128" t="str">
        <f>IF(COUNTIF(E5:E8,"&lt;2")&gt;1,"nee","ja")</f>
        <v>ja</v>
      </c>
      <c r="I2" s="122">
        <f>COUNTIF(E5:E8,"&lt;2")</f>
        <v>0</v>
      </c>
    </row>
    <row r="3" spans="1:9" x14ac:dyDescent="0.2">
      <c r="A3" s="130" t="s">
        <v>498</v>
      </c>
      <c r="B3" s="129">
        <v>2</v>
      </c>
      <c r="D3" s="129" t="s">
        <v>507</v>
      </c>
      <c r="E3" s="128" t="str">
        <f>VLOOKUP('Fase 1-3'!I14,$A$1:$B$6,2,0)</f>
        <v>-</v>
      </c>
      <c r="G3" s="129" t="s">
        <v>516</v>
      </c>
      <c r="H3" s="129" t="str">
        <f>IF(COUNTIF(E1:E8,"-")=8,"ja",(IF(AVERAGE(E1:E8)=0,"nee","ja")))</f>
        <v>ja</v>
      </c>
    </row>
    <row r="4" spans="1:9" x14ac:dyDescent="0.2">
      <c r="A4" s="131" t="s">
        <v>499</v>
      </c>
      <c r="B4" s="129">
        <v>1</v>
      </c>
      <c r="D4" s="129" t="s">
        <v>508</v>
      </c>
      <c r="E4" s="128" t="str">
        <f>VLOOKUP('Fase 1-3'!I16,$A$1:$B$6,2,0)</f>
        <v>-</v>
      </c>
      <c r="G4" s="133" t="s">
        <v>499</v>
      </c>
      <c r="H4" s="129" t="str">
        <f>IF(OR(H1="nee",H2="nee",H3="nee"),"ja","nee")</f>
        <v>nee</v>
      </c>
    </row>
    <row r="5" spans="1:9" x14ac:dyDescent="0.2">
      <c r="A5" s="132" t="s">
        <v>501</v>
      </c>
      <c r="B5" s="129" t="s">
        <v>502</v>
      </c>
      <c r="D5" s="129" t="s">
        <v>509</v>
      </c>
      <c r="E5" s="128" t="str">
        <f>VLOOKUP('Fase 1-3'!I18,$A$1:$B$6,2,0)</f>
        <v>-</v>
      </c>
    </row>
    <row r="6" spans="1:9" x14ac:dyDescent="0.2">
      <c r="A6" s="133" t="s">
        <v>500</v>
      </c>
      <c r="B6" s="129">
        <v>0</v>
      </c>
      <c r="D6" s="129" t="s">
        <v>510</v>
      </c>
      <c r="E6" s="128" t="str">
        <f>VLOOKUP('Fase 1-3'!I20,$A$1:$B$6,2,0)</f>
        <v>-</v>
      </c>
    </row>
    <row r="7" spans="1:9" x14ac:dyDescent="0.2">
      <c r="D7" s="129" t="s">
        <v>511</v>
      </c>
      <c r="E7" s="128" t="str">
        <f>VLOOKUP('Fase 1-3'!I22,$A$1:$B$6,2,0)</f>
        <v>-</v>
      </c>
    </row>
    <row r="8" spans="1:9" x14ac:dyDescent="0.2">
      <c r="A8" s="134" t="s">
        <v>503</v>
      </c>
      <c r="B8" s="134" t="s">
        <v>504</v>
      </c>
      <c r="D8" s="129" t="s">
        <v>512</v>
      </c>
      <c r="E8" s="128" t="str">
        <f>VLOOKUP('Fase 1-3'!I24,$A$1:$B$6,2,0)</f>
        <v>-</v>
      </c>
    </row>
    <row r="9" spans="1:9" x14ac:dyDescent="0.2">
      <c r="A9" s="129">
        <v>2.75</v>
      </c>
      <c r="B9" s="135" t="s">
        <v>524</v>
      </c>
      <c r="D9" s="129" t="s">
        <v>515</v>
      </c>
      <c r="E9" s="128" t="str">
        <f>IF(COUNTIF(E1:E8,"-")=8,"",AVERAGE(E1:E8))</f>
        <v/>
      </c>
    </row>
    <row r="10" spans="1:9" x14ac:dyDescent="0.2">
      <c r="A10" s="129">
        <v>2.5</v>
      </c>
      <c r="B10" s="135" t="s">
        <v>523</v>
      </c>
    </row>
    <row r="11" spans="1:9" x14ac:dyDescent="0.2">
      <c r="A11" s="129">
        <v>2.25</v>
      </c>
      <c r="B11" s="136" t="s">
        <v>522</v>
      </c>
    </row>
    <row r="12" spans="1:9" x14ac:dyDescent="0.2">
      <c r="A12" s="129">
        <v>2</v>
      </c>
      <c r="B12" s="136" t="s">
        <v>521</v>
      </c>
    </row>
    <row r="13" spans="1:9" x14ac:dyDescent="0.2">
      <c r="A13" s="129">
        <v>1.75</v>
      </c>
      <c r="B13" s="138" t="s">
        <v>520</v>
      </c>
    </row>
    <row r="14" spans="1:9" x14ac:dyDescent="0.2">
      <c r="A14" s="129" t="s">
        <v>518</v>
      </c>
      <c r="B14" s="137" t="s">
        <v>517</v>
      </c>
    </row>
    <row r="16" spans="1:9" x14ac:dyDescent="0.2">
      <c r="A16" s="129" t="s">
        <v>519</v>
      </c>
      <c r="B16" s="129" t="str">
        <f t="array" ref="B16">IF(H4="ja",$B$14,(IF(E9="","",_1__xlfn.IFS(E9&gt;=$A$9,$B$9,E9&gt;=$A$10,$B$10,E9&gt;=$A$11,$B$11,E9&gt;=$A$12,$B$12,E9&gt;=$A$13,$B$13))))</f>
        <v/>
      </c>
    </row>
  </sheetData>
  <sheetProtection algorithmName="SHA-512" hashValue="U0/nOf8SytGnJ6lYwfZVgNtUG9gm5j8GDH37KnHuOLD5+MrYp4GOhXQnk42ZnHeNcxbEkXZ8Yy16zYG4MjhqxA==" saltValue="QU5SLEPk8lYRD5/rVc3LdQ==" spinCount="100000" sheet="1" objects="1" scenarios="1"/>
  <conditionalFormatting sqref="H4">
    <cfRule type="cellIs" dxfId="3" priority="1" operator="equal">
      <formula>"nee"</formula>
    </cfRule>
    <cfRule type="cellIs" dxfId="2" priority="2" operator="equal">
      <formula>"ja"</formula>
    </cfRule>
  </conditionalFormatting>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workbookViewId="0">
      <selection activeCell="A2" sqref="A2"/>
    </sheetView>
  </sheetViews>
  <sheetFormatPr baseColWidth="10" defaultColWidth="8.83203125" defaultRowHeight="16" x14ac:dyDescent="0.2"/>
  <cols>
    <col min="1" max="1" width="20.6640625" style="122" customWidth="1"/>
    <col min="2" max="2" width="15.5" style="122" bestFit="1" customWidth="1"/>
    <col min="4" max="4" width="8.83203125" style="122"/>
    <col min="5" max="5" width="12.33203125" style="77" bestFit="1" customWidth="1"/>
    <col min="7" max="7" width="13.1640625" style="122" customWidth="1"/>
    <col min="8" max="8" width="15.5" bestFit="1" customWidth="1"/>
    <col min="9" max="9" width="8.83203125" style="122"/>
  </cols>
  <sheetData>
    <row r="1" spans="1:9" x14ac:dyDescent="0.2">
      <c r="A1" s="127" t="s">
        <v>496</v>
      </c>
      <c r="B1" s="128" t="s">
        <v>502</v>
      </c>
      <c r="D1" s="129" t="s">
        <v>505</v>
      </c>
      <c r="E1" s="128" t="str">
        <f>VLOOKUP(Herkansing!E9,$A$1:$B$6,2,0)</f>
        <v>-</v>
      </c>
      <c r="G1" s="128" t="s">
        <v>513</v>
      </c>
      <c r="H1" s="128" t="str">
        <f>IF(COUNTIF(E1:E4,"&lt;2")=0,"ja","nee")</f>
        <v>ja</v>
      </c>
      <c r="I1" s="122">
        <f>COUNTIF(E1:E4,"&lt;2")</f>
        <v>0</v>
      </c>
    </row>
    <row r="2" spans="1:9" x14ac:dyDescent="0.2">
      <c r="A2" s="147" t="s">
        <v>497</v>
      </c>
      <c r="B2" s="129">
        <v>3</v>
      </c>
      <c r="D2" s="129" t="s">
        <v>506</v>
      </c>
      <c r="E2" s="128" t="str">
        <f>VLOOKUP(Herkansing!E11,$A$1:$B$6,2,0)</f>
        <v>-</v>
      </c>
      <c r="G2" s="128" t="s">
        <v>514</v>
      </c>
      <c r="H2" s="128" t="str">
        <f>IF(COUNTIF(E5:E8,"&lt;2")&gt;1,"nee","ja")</f>
        <v>ja</v>
      </c>
      <c r="I2" s="122">
        <f>COUNTIF(E5:E8,"&lt;2")</f>
        <v>0</v>
      </c>
    </row>
    <row r="3" spans="1:9" x14ac:dyDescent="0.2">
      <c r="A3" s="130" t="s">
        <v>498</v>
      </c>
      <c r="B3" s="129">
        <v>2</v>
      </c>
      <c r="D3" s="129" t="s">
        <v>507</v>
      </c>
      <c r="E3" s="128" t="str">
        <f>VLOOKUP(Herkansing!E13,$A$1:$B$6,2,0)</f>
        <v>-</v>
      </c>
      <c r="G3" s="129" t="s">
        <v>516</v>
      </c>
      <c r="H3" s="129" t="str">
        <f>IF(COUNTIF(E1:E8,"-")=8,"ja",(IF(AVERAGE(E1:E8)=0,"nee","ja")))</f>
        <v>ja</v>
      </c>
    </row>
    <row r="4" spans="1:9" x14ac:dyDescent="0.2">
      <c r="A4" s="131" t="s">
        <v>499</v>
      </c>
      <c r="B4" s="129">
        <v>1</v>
      </c>
      <c r="D4" s="129" t="s">
        <v>508</v>
      </c>
      <c r="E4" s="128" t="str">
        <f>VLOOKUP(Herkansing!E15,$A$1:$B$6,2,0)</f>
        <v>-</v>
      </c>
      <c r="G4" s="133" t="s">
        <v>499</v>
      </c>
      <c r="H4" s="129" t="str">
        <f>IF(OR(H1="nee",H2="nee",H3="nee"),"ja","nee")</f>
        <v>nee</v>
      </c>
    </row>
    <row r="5" spans="1:9" x14ac:dyDescent="0.2">
      <c r="A5" s="132" t="s">
        <v>501</v>
      </c>
      <c r="B5" s="129" t="s">
        <v>502</v>
      </c>
      <c r="D5" s="129" t="s">
        <v>509</v>
      </c>
      <c r="E5" s="128" t="str">
        <f>VLOOKUP(Herkansing!E17,$A$1:$B$6,2,0)</f>
        <v>-</v>
      </c>
    </row>
    <row r="6" spans="1:9" x14ac:dyDescent="0.2">
      <c r="A6" s="133" t="s">
        <v>500</v>
      </c>
      <c r="B6" s="129">
        <v>0</v>
      </c>
      <c r="D6" s="129" t="s">
        <v>510</v>
      </c>
      <c r="E6" s="128" t="str">
        <f>VLOOKUP(Herkansing!E19,$A$1:$B$6,2,0)</f>
        <v>-</v>
      </c>
    </row>
    <row r="7" spans="1:9" x14ac:dyDescent="0.2">
      <c r="D7" s="129" t="s">
        <v>511</v>
      </c>
      <c r="E7" s="128" t="str">
        <f>VLOOKUP(Herkansing!E21,$A$1:$B$6,2,0)</f>
        <v>-</v>
      </c>
    </row>
    <row r="8" spans="1:9" x14ac:dyDescent="0.2">
      <c r="A8" s="134" t="s">
        <v>503</v>
      </c>
      <c r="B8" s="134" t="s">
        <v>504</v>
      </c>
      <c r="D8" s="129" t="s">
        <v>512</v>
      </c>
      <c r="E8" s="128" t="str">
        <f>VLOOKUP(Herkansing!E23,$A$1:$B$6,2,0)</f>
        <v>-</v>
      </c>
    </row>
    <row r="9" spans="1:9" x14ac:dyDescent="0.2">
      <c r="A9" s="129">
        <v>2.75</v>
      </c>
      <c r="B9" s="135" t="s">
        <v>524</v>
      </c>
      <c r="D9" s="129" t="s">
        <v>515</v>
      </c>
      <c r="E9" s="128" t="str">
        <f>IF(COUNTIF(E1:E8,"-")=8,"",AVERAGE(E1:E8))</f>
        <v/>
      </c>
    </row>
    <row r="10" spans="1:9" x14ac:dyDescent="0.2">
      <c r="A10" s="129">
        <v>2.5</v>
      </c>
      <c r="B10" s="135" t="s">
        <v>523</v>
      </c>
    </row>
    <row r="11" spans="1:9" x14ac:dyDescent="0.2">
      <c r="A11" s="129">
        <v>2.25</v>
      </c>
      <c r="B11" s="136" t="s">
        <v>522</v>
      </c>
    </row>
    <row r="12" spans="1:9" x14ac:dyDescent="0.2">
      <c r="A12" s="129">
        <v>2</v>
      </c>
      <c r="B12" s="136" t="s">
        <v>521</v>
      </c>
    </row>
    <row r="13" spans="1:9" x14ac:dyDescent="0.2">
      <c r="A13" s="129">
        <v>1.75</v>
      </c>
      <c r="B13" s="138" t="s">
        <v>520</v>
      </c>
    </row>
    <row r="14" spans="1:9" x14ac:dyDescent="0.2">
      <c r="A14" s="129" t="s">
        <v>518</v>
      </c>
      <c r="B14" s="137" t="s">
        <v>517</v>
      </c>
    </row>
    <row r="16" spans="1:9" x14ac:dyDescent="0.2">
      <c r="A16" s="129" t="s">
        <v>519</v>
      </c>
      <c r="B16" s="129" t="str">
        <f t="array" ref="B16">IF(H4="ja",$B$14,(IF(E9="","",_1__xlfn.IFS(E9&gt;=$A$9,$B$9,E9&gt;=$A$10,$B$10,E9&gt;=$A$11,$B$11,E9&gt;=$A$12,$B$12,E9&gt;=$A$13,$B$13))))</f>
        <v/>
      </c>
    </row>
  </sheetData>
  <sheetProtection algorithmName="SHA-512" hashValue="Is9g4ethtMGefhuCIgDDt4WSZiNr4ROI9xjOLRSfehkIQ/mKE+vjdRwnma3OwJ2KxgOXlhj5tuzXX98oI/C4RA==" saltValue="ZC+hfJ6axN11OmjnqmBvpQ==" spinCount="100000" sheet="1" objects="1" scenarios="1"/>
  <conditionalFormatting sqref="H4">
    <cfRule type="cellIs" dxfId="1" priority="1" operator="equal">
      <formula>"nee"</formula>
    </cfRule>
    <cfRule type="cellIs" dxfId="0" priority="2" operator="equal">
      <formula>"ja"</formula>
    </cfRule>
  </conditionalFormatting>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Werkbladen</vt:lpstr>
      </vt:variant>
      <vt:variant>
        <vt:i4>10</vt:i4>
      </vt:variant>
      <vt:variant>
        <vt:lpstr>Benoemde bereiken</vt:lpstr>
      </vt:variant>
      <vt:variant>
        <vt:i4>1</vt:i4>
      </vt:variant>
    </vt:vector>
  </HeadingPairs>
  <TitlesOfParts>
    <vt:vector size="11" baseType="lpstr">
      <vt:lpstr>Fase 1-3</vt:lpstr>
      <vt:lpstr>Herkansing</vt:lpstr>
      <vt:lpstr>Docentvragen per fase</vt:lpstr>
      <vt:lpstr>Beroepstaken</vt:lpstr>
      <vt:lpstr>Docentvragen per BT</vt:lpstr>
      <vt:lpstr>Niveaubepaling</vt:lpstr>
      <vt:lpstr>Beroepstaken per AP</vt:lpstr>
      <vt:lpstr>Admin</vt:lpstr>
      <vt:lpstr>Resultaat</vt:lpstr>
      <vt:lpstr>her</vt:lpstr>
      <vt:lpstr>Beroepstaken!Afdrukbereik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Klaas Jan Mollema</cp:lastModifiedBy>
  <cp:revision/>
  <cp:lastPrinted>2021-10-14T09:44:41Z</cp:lastPrinted>
  <dcterms:created xsi:type="dcterms:W3CDTF">2017-02-09T22:17:44Z</dcterms:created>
  <dcterms:modified xsi:type="dcterms:W3CDTF">2025-12-02T13:38:47Z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0x010100F9CEC3F65A06954B946AEBF9CD2E3489</vt:lpwstr>
  </property>
  <property fmtid="{D5CDD505-2E9C-101B-9397-08002B2CF9AE}" pid="3" name="Vak">
    <vt:lpwstr>19;#SE|205ef770-da39-4d94-8cc9-8ff658cf52ae</vt:lpwstr>
  </property>
  <property fmtid="{D5CDD505-2E9C-101B-9397-08002B2CF9AE}" pid="4" name="Document type">
    <vt:lpwstr>131;#Onderwijsleerplan (OLP)|7f401d2b-42a3-4834-bb22-9bdd8a3a8b68</vt:lpwstr>
  </property>
  <property fmtid="{D5CDD505-2E9C-101B-9397-08002B2CF9AE}" pid="5" name="Onderwijsperiode">
    <vt:lpwstr/>
  </property>
  <property fmtid="{D5CDD505-2E9C-101B-9397-08002B2CF9AE}" pid="6" name="Studiefase">
    <vt:lpwstr/>
  </property>
  <property fmtid="{D5CDD505-2E9C-101B-9397-08002B2CF9AE}" pid="7" name="Organisatieonderdeel">
    <vt:lpwstr/>
  </property>
  <property fmtid="{D5CDD505-2E9C-101B-9397-08002B2CF9AE}" pid="8" name="Locatie">
    <vt:lpwstr>200;#Zoetermeer|e2e293c2-8617-44b0-a7db-6ec75d47aff7</vt:lpwstr>
  </property>
  <property fmtid="{D5CDD505-2E9C-101B-9397-08002B2CF9AE}" pid="9" name="Vak0">
    <vt:lpwstr>19;#SE|205ef770-da39-4d94-8cc9-8ff658cf52ae</vt:lpwstr>
  </property>
  <property fmtid="{D5CDD505-2E9C-101B-9397-08002B2CF9AE}" pid="10" name="Organisatieonderdeel0">
    <vt:lpwstr/>
  </property>
  <property fmtid="{D5CDD505-2E9C-101B-9397-08002B2CF9AE}" pid="11" name="Studiefase0">
    <vt:lpwstr/>
  </property>
  <property fmtid="{D5CDD505-2E9C-101B-9397-08002B2CF9AE}" pid="12" name="Document type0">
    <vt:lpwstr>131;#Onderwijsleerplan (OLP)|7f401d2b-42a3-4834-bb22-9bdd8a3a8b68</vt:lpwstr>
  </property>
  <property fmtid="{D5CDD505-2E9C-101B-9397-08002B2CF9AE}" pid="13" name="Beroepstaak">
    <vt:lpwstr/>
  </property>
  <property fmtid="{D5CDD505-2E9C-101B-9397-08002B2CF9AE}" pid="14" name="Archief">
    <vt:lpwstr/>
  </property>
  <property fmtid="{D5CDD505-2E9C-101B-9397-08002B2CF9AE}" pid="15" name="AuthorIds_UIVersion_512">
    <vt:lpwstr>93</vt:lpwstr>
  </property>
  <property fmtid="{D5CDD505-2E9C-101B-9397-08002B2CF9AE}" pid="16" name="AuthorIds_UIVersion_1024">
    <vt:lpwstr>401</vt:lpwstr>
  </property>
  <property fmtid="{D5CDD505-2E9C-101B-9397-08002B2CF9AE}" pid="17" name="AuthorIds_UIVersion_2048">
    <vt:lpwstr>93</vt:lpwstr>
  </property>
  <property fmtid="{D5CDD505-2E9C-101B-9397-08002B2CF9AE}" pid="18" name="AuthorIds_UIVersion_2560">
    <vt:lpwstr>182</vt:lpwstr>
  </property>
  <property fmtid="{D5CDD505-2E9C-101B-9397-08002B2CF9AE}" pid="19" name="AuthorIds_UIVersion_3072">
    <vt:lpwstr>93</vt:lpwstr>
  </property>
  <property fmtid="{D5CDD505-2E9C-101B-9397-08002B2CF9AE}" pid="20" name="AuthorIds_UIVersion_5632">
    <vt:lpwstr>182</vt:lpwstr>
  </property>
  <property fmtid="{D5CDD505-2E9C-101B-9397-08002B2CF9AE}" pid="21" name="AuthorIds_UIVersion_6144">
    <vt:lpwstr>31</vt:lpwstr>
  </property>
  <property fmtid="{D5CDD505-2E9C-101B-9397-08002B2CF9AE}" pid="22" name="AuthorIds_UIVersion_6656">
    <vt:lpwstr>182</vt:lpwstr>
  </property>
  <property fmtid="{D5CDD505-2E9C-101B-9397-08002B2CF9AE}" pid="23" name="AuthorIds_UIVersion_7168">
    <vt:lpwstr>257</vt:lpwstr>
  </property>
  <property fmtid="{D5CDD505-2E9C-101B-9397-08002B2CF9AE}" pid="24" name="AuthorIds_UIVersion_7680">
    <vt:lpwstr>257</vt:lpwstr>
  </property>
  <property fmtid="{D5CDD505-2E9C-101B-9397-08002B2CF9AE}" pid="25" name="AuthorIds_UIVersion_10752">
    <vt:lpwstr>98</vt:lpwstr>
  </property>
  <property fmtid="{D5CDD505-2E9C-101B-9397-08002B2CF9AE}" pid="26" name="AuthorIds_UIVersion_15872">
    <vt:lpwstr>31</vt:lpwstr>
  </property>
  <property fmtid="{D5CDD505-2E9C-101B-9397-08002B2CF9AE}" pid="27" name="AuthorIds_UIVersion_23552">
    <vt:lpwstr>20</vt:lpwstr>
  </property>
  <property fmtid="{D5CDD505-2E9C-101B-9397-08002B2CF9AE}" pid="28" name="AuthorIds_UIVersion_24576">
    <vt:lpwstr>93</vt:lpwstr>
  </property>
  <property fmtid="{D5CDD505-2E9C-101B-9397-08002B2CF9AE}" pid="29" name="AuthorIds_UIVersion_26624">
    <vt:lpwstr>43</vt:lpwstr>
  </property>
  <property fmtid="{D5CDD505-2E9C-101B-9397-08002B2CF9AE}" pid="30" name="AuthorIds_UIVersion_27136">
    <vt:lpwstr>114</vt:lpwstr>
  </property>
  <property fmtid="{D5CDD505-2E9C-101B-9397-08002B2CF9AE}" pid="31" name="AuthorIds_UIVersion_28672">
    <vt:lpwstr>55</vt:lpwstr>
  </property>
  <property fmtid="{D5CDD505-2E9C-101B-9397-08002B2CF9AE}" pid="32" name="AuthorIds_UIVersion_29696">
    <vt:lpwstr>55</vt:lpwstr>
  </property>
  <property fmtid="{D5CDD505-2E9C-101B-9397-08002B2CF9AE}" pid="33" name="AuthorIds_UIVersion_30720">
    <vt:lpwstr>365</vt:lpwstr>
  </property>
  <property fmtid="{D5CDD505-2E9C-101B-9397-08002B2CF9AE}" pid="34" name="AuthorIds_UIVersion_31232">
    <vt:lpwstr>365</vt:lpwstr>
  </property>
  <property fmtid="{D5CDD505-2E9C-101B-9397-08002B2CF9AE}" pid="35" name="AuthorIds_UIVersion_31744">
    <vt:lpwstr>257</vt:lpwstr>
  </property>
  <property fmtid="{D5CDD505-2E9C-101B-9397-08002B2CF9AE}" pid="36" name="AuthorIds_UIVersion_32256">
    <vt:lpwstr>93</vt:lpwstr>
  </property>
  <property fmtid="{D5CDD505-2E9C-101B-9397-08002B2CF9AE}" pid="37" name="AuthorIds_UIVersion_32768">
    <vt:lpwstr>93</vt:lpwstr>
  </property>
  <property fmtid="{D5CDD505-2E9C-101B-9397-08002B2CF9AE}" pid="38" name="AuthorIds_UIVersion_33280">
    <vt:lpwstr>93</vt:lpwstr>
  </property>
  <property fmtid="{D5CDD505-2E9C-101B-9397-08002B2CF9AE}" pid="39" name="AuthorIds_UIVersion_33792">
    <vt:lpwstr>43</vt:lpwstr>
  </property>
  <property fmtid="{D5CDD505-2E9C-101B-9397-08002B2CF9AE}" pid="40" name="AuthorIds_UIVersion_36864">
    <vt:lpwstr>43</vt:lpwstr>
  </property>
  <property fmtid="{D5CDD505-2E9C-101B-9397-08002B2CF9AE}" pid="41" name="AuthorIds_UIVersion_37888">
    <vt:lpwstr>93</vt:lpwstr>
  </property>
  <property fmtid="{D5CDD505-2E9C-101B-9397-08002B2CF9AE}" pid="42" name="AuthorIds_UIVersion_38400">
    <vt:lpwstr>93</vt:lpwstr>
  </property>
  <property fmtid="{D5CDD505-2E9C-101B-9397-08002B2CF9AE}" pid="43" name="AuthorIds_UIVersion_39424">
    <vt:lpwstr>93</vt:lpwstr>
  </property>
  <property fmtid="{D5CDD505-2E9C-101B-9397-08002B2CF9AE}" pid="44" name="AuthorIds_UIVersion_40960">
    <vt:lpwstr>93</vt:lpwstr>
  </property>
  <property fmtid="{D5CDD505-2E9C-101B-9397-08002B2CF9AE}" pid="45" name="AuthorIds_UIVersion_41472">
    <vt:lpwstr>93</vt:lpwstr>
  </property>
  <property fmtid="{D5CDD505-2E9C-101B-9397-08002B2CF9AE}" pid="46" name="AuthorIds_UIVersion_41984">
    <vt:lpwstr>325</vt:lpwstr>
  </property>
  <property fmtid="{D5CDD505-2E9C-101B-9397-08002B2CF9AE}" pid="47" name="AuthorIds_UIVersion_42496">
    <vt:lpwstr>38</vt:lpwstr>
  </property>
  <property fmtid="{D5CDD505-2E9C-101B-9397-08002B2CF9AE}" pid="48" name="AuthorIds_UIVersion_43008">
    <vt:lpwstr>98</vt:lpwstr>
  </property>
  <property fmtid="{D5CDD505-2E9C-101B-9397-08002B2CF9AE}" pid="49" name="AuthorIds_UIVersion_43520">
    <vt:lpwstr>325</vt:lpwstr>
  </property>
  <property fmtid="{D5CDD505-2E9C-101B-9397-08002B2CF9AE}" pid="50" name="AuthorIds_UIVersion_44032">
    <vt:lpwstr>98</vt:lpwstr>
  </property>
  <property fmtid="{D5CDD505-2E9C-101B-9397-08002B2CF9AE}" pid="51" name="AuthorIds_UIVersion_44544">
    <vt:lpwstr>55</vt:lpwstr>
  </property>
  <property fmtid="{D5CDD505-2E9C-101B-9397-08002B2CF9AE}" pid="52" name="AuthorIds_UIVersion_45568">
    <vt:lpwstr>55</vt:lpwstr>
  </property>
  <property fmtid="{D5CDD505-2E9C-101B-9397-08002B2CF9AE}" pid="53" name="AuthorIds_UIVersion_46080">
    <vt:lpwstr>114</vt:lpwstr>
  </property>
  <property fmtid="{D5CDD505-2E9C-101B-9397-08002B2CF9AE}" pid="54" name="AuthorIds_UIVersion_46592">
    <vt:lpwstr>43</vt:lpwstr>
  </property>
  <property fmtid="{D5CDD505-2E9C-101B-9397-08002B2CF9AE}" pid="55" name="AuthorIds_UIVersion_47104">
    <vt:lpwstr>43</vt:lpwstr>
  </property>
  <property fmtid="{D5CDD505-2E9C-101B-9397-08002B2CF9AE}" pid="56" name="AuthorIds_UIVersion_47616">
    <vt:lpwstr>43</vt:lpwstr>
  </property>
  <property fmtid="{D5CDD505-2E9C-101B-9397-08002B2CF9AE}" pid="57" name="AuthorIds_UIVersion_48128">
    <vt:lpwstr>43</vt:lpwstr>
  </property>
  <property fmtid="{D5CDD505-2E9C-101B-9397-08002B2CF9AE}" pid="58" name="AuthorIds_UIVersion_50688">
    <vt:lpwstr>93</vt:lpwstr>
  </property>
  <property fmtid="{D5CDD505-2E9C-101B-9397-08002B2CF9AE}" pid="59" name="AuthorIds_UIVersion_51712">
    <vt:lpwstr>257</vt:lpwstr>
  </property>
  <property fmtid="{D5CDD505-2E9C-101B-9397-08002B2CF9AE}" pid="60" name="AuthorIds_UIVersion_53760">
    <vt:lpwstr>257</vt:lpwstr>
  </property>
  <property fmtid="{D5CDD505-2E9C-101B-9397-08002B2CF9AE}" pid="61" name="AuthorIds_UIVersion_54784">
    <vt:lpwstr>114</vt:lpwstr>
  </property>
  <property fmtid="{D5CDD505-2E9C-101B-9397-08002B2CF9AE}" pid="62" name="AuthorIds_UIVersion_55296">
    <vt:lpwstr>154</vt:lpwstr>
  </property>
  <property fmtid="{D5CDD505-2E9C-101B-9397-08002B2CF9AE}" pid="63" name="AuthorIds_UIVersion_55808">
    <vt:lpwstr>114</vt:lpwstr>
  </property>
  <property fmtid="{D5CDD505-2E9C-101B-9397-08002B2CF9AE}" pid="64" name="AuthorIds_UIVersion_56320">
    <vt:lpwstr>996</vt:lpwstr>
  </property>
  <property fmtid="{D5CDD505-2E9C-101B-9397-08002B2CF9AE}" pid="65" name="AuthorIds_UIVersion_56832">
    <vt:lpwstr>257</vt:lpwstr>
  </property>
  <property fmtid="{D5CDD505-2E9C-101B-9397-08002B2CF9AE}" pid="66" name="MediaServiceImageTags">
    <vt:lpwstr/>
  </property>
</Properties>
</file>